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mc:AlternateContent xmlns:mc="http://schemas.openxmlformats.org/markup-compatibility/2006">
    <mc:Choice Requires="x15">
      <x15ac:absPath xmlns:x15ac="http://schemas.microsoft.com/office/spreadsheetml/2010/11/ac" url="/Users/sasidasari/"/>
    </mc:Choice>
  </mc:AlternateContent>
  <xr:revisionPtr revIDLastSave="0" documentId="8_{2C40AE70-C6E2-AF4D-AFB6-F658429AFA3D}" xr6:coauthVersionLast="47" xr6:coauthVersionMax="47" xr10:uidLastSave="{00000000-0000-0000-0000-000000000000}"/>
  <bookViews>
    <workbookView xWindow="0" yWindow="660" windowWidth="29400" windowHeight="18460" activeTab="2" xr2:uid="{26D4546B-D2A1-4444-8EAF-A6228F96F0C1}"/>
  </bookViews>
  <sheets>
    <sheet name="Sheet1" sheetId="7" r:id="rId1"/>
    <sheet name="Sheet2" sheetId="8" r:id="rId2"/>
    <sheet name="couatumer center report" sheetId="5" r:id="rId3"/>
    <sheet name="Data" sheetId="2" r:id="rId4"/>
    <sheet name="pivort" sheetId="6" r:id="rId5"/>
    <sheet name="Assets" sheetId="4" r:id="rId6"/>
  </sheets>
  <definedNames>
    <definedName name="_xlnm._FilterDatabase" localSheetId="3" hidden="1">Data!$B$3:$H$1003</definedName>
    <definedName name="_xlcn.WorksheetConnection_07.sampledataexcelportfolioproject.xlsxcalls" hidden="1">calls[]</definedName>
    <definedName name="_xlcn.WorksheetConnection_07.sampledataexcelportfolioproject.xlsxcustomers" hidden="1">customers[]</definedName>
    <definedName name="ExternalData_1" localSheetId="1" hidden="1">Sheet2!$A$3:$M$49</definedName>
    <definedName name="Slicer_Representativ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1" i="5" l="1" a="1"/>
  <c r="S21" i="5" s="1"/>
  <c r="R22" i="5" a="1"/>
  <c r="R22" i="5" s="1"/>
  <c r="M48" i="6"/>
  <c r="I51" i="6" a="1"/>
  <c r="I51"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M55" i="6" l="1"/>
  <c r="L51" i="6"/>
  <c r="L52" i="6"/>
  <c r="L55" i="6"/>
  <c r="L53" i="6"/>
  <c r="L54" i="6"/>
  <c r="M51" i="6"/>
  <c r="M52" i="6"/>
  <c r="M53" i="6"/>
  <c r="M5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6A3A12-1B32-4428-8362-C55624A959EC}" keepAlive="1" name="ModelConnection_ExternalData_1" description="Data Model" type="5" refreshedVersion="8" minRefreshableVersion="5" saveData="1">
    <dbPr connection="Data Model Connection" command="DRILLTHROUGH MAXROWS 1000 SELECT FROM [Model] WHERE (([calls].[Representative].&amp;[R03],[Measures].[call count],[calls].[Rating rounded].&amp;[3]))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9BEC95DE-E6E8-47CE-A2B0-04E79C2C7D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F90A3B4-F45D-46DD-86A8-0ED48AFB393E}"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4" xr16:uid="{EB63BC15-DFAF-4592-B6F8-7558A790F05A}"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<sst xmlns="http://schemas.openxmlformats.org/spreadsheetml/2006/main" count="3472" uniqueCount="1102">
  <si>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</si>
  <si>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</si>
  <si>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</si>
  <si>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</si>
  <si>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</si>
  <si>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</si>
  <si>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</si>
  <si>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</si>
  <si>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</si>
  <si>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</si>
  <si>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</si>
  <si>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</si>
  <si>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</si>
  <si>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</si>
  <si>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</si>
  <si>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</si>
  <si>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</si>
  <si>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</si>
  <si>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</si>
  <si>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</si>
  <si>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</si>
  <si>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</si>
  <si>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</si>
  <si>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</si>
  <si>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</si>
  <si>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</si>
  <si>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</si>
  <si>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</si>
  <si>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</si>
  <si>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</si>
  <si>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</si>
  <si>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</si>
  <si>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</si>
  <si>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</si>
  <si>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</si>
  <si>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</si>
  <si>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</si>
  <si>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</si>
  <si>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</si>
  <si>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</si>
  <si>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</si>
  <si>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</si>
  <si>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</si>
  <si>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</si>
  <si>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</si>
  <si>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</si>
  <si>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</si>
  <si>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</si>
  <si>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</si>
  <si>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</si>
  <si>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</si>
  <si>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</si>
  <si>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</si>
  <si>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</si>
  <si>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</si>
  <si>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</si>
  <si>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</si>
  <si>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</si>
  <si>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</si>
  <si>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</si>
  <si>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</si>
  <si>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</si>
  <si>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</si>
  <si>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</si>
  <si>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</si>
  <si>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</si>
  <si>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</si>
  <si>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</si>
  <si>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</si>
  <si>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</si>
  <si>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</si>
  <si>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</si>
  <si>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</si>
  <si>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</si>
  <si>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</si>
  <si>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</si>
  <si>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</si>
  <si>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</si>
  <si>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</si>
  <si>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</si>
  <si>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</si>
  <si>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</si>
  <si>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</si>
  <si>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</si>
  <si>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</si>
  <si>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</si>
  <si>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</si>
  <si>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</si>
  <si>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</si>
  <si>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</si>
  <si>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</si>
  <si>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</si>
  <si>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</si>
  <si>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</si>
  <si>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</si>
  <si>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</si>
  <si>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</si>
  <si>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</si>
  <si>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</si>
  <si>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</si>
  <si>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</si>
  <si>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</si>
  <si>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</si>
  <si>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</si>
  <si>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</si>
  <si>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</si>
  <si>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</si>
  <si>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</si>
  <si>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</si>
  <si>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</si>
  <si>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</si>
  <si>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</si>
  <si>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</si>
  <si>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</si>
  <si>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</si>
  <si>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</si>
  <si>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</si>
  <si>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</si>
  <si>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</si>
  <si>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</si>
  <si>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</si>
  <si>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</si>
  <si>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</si>
  <si>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</si>
  <si>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</si>
  <si>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</si>
  <si>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</si>
  <si>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</si>
  <si>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</si>
  <si>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</si>
  <si>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</si>
  <si>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</si>
  <si>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</si>
  <si>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</si>
  <si>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</si>
  <si>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</si>
  <si>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</si>
  <si>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</si>
  <si>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</si>
  <si>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</si>
  <si>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</si>
  <si>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</si>
  <si>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</si>
  <si>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</si>
  <si>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</si>
  <si>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</si>
  <si>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</si>
  <si>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</si>
  <si>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</si>
  <si>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</si>
  <si>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</si>
  <si>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</si>
  <si>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</si>
  <si>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</si>
  <si>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</si>
  <si>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</si>
  <si>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</si>
  <si>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</si>
  <si>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</si>
  <si>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</si>
  <si>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</si>
  <si>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</si>
  <si>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</si>
  <si>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</si>
  <si>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</si>
  <si>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</si>
  <si>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</si>
  <si>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</si>
  <si>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</si>
  <si>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</si>
  <si>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</si>
  <si>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</si>
  <si>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</si>
  <si>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</si>
  <si>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</si>
  <si>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</si>
  <si>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</si>
  <si>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</si>
  <si>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</si>
  <si>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</si>
  <si>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</si>
  <si>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</si>
  <si>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</si>
  <si>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</si>
  <si>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</si>
  <si>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</si>
  <si>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</si>
  <si>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</si>
  <si>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</si>
  <si>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</si>
  <si>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</si>
  <si>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</si>
  <si>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</si>
  <si>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</si>
  <si>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</si>
  <si>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</si>
  <si>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</si>
  <si>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</si>
  <si>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</si>
  <si>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</si>
  <si>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</si>
  <si>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</si>
  <si>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</si>
  <si>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</si>
  <si>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</si>
  <si>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</si>
  <si>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</si>
  <si>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</si>
  <si>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</si>
  <si>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</si>
  <si>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</si>
  <si>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</si>
  <si>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</si>
  <si>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</si>
  <si>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</si>
  <si>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</si>
  <si>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</si>
  <si>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</si>
  <si>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</si>
  <si>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</si>
  <si>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</si>
  <si>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</si>
  <si>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</si>
  <si>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</si>
  <si>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</si>
  <si>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</si>
  <si>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</si>
  <si>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</si>
  <si>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</si>
  <si>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</si>
  <si>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</si>
  <si>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</si>
  <si>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</si>
  <si>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</si>
  <si>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</si>
  <si>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</si>
  <si>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</si>
  <si>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</si>
  <si>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</si>
  <si>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</si>
  <si>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</si>
  <si>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</si>
  <si>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</si>
  <si>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</si>
  <si>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</si>
  <si>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</si>
  <si>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</si>
  <si>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</si>
  <si>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</si>
  <si>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</si>
  <si>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</si>
  <si>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</si>
  <si>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</si>
  <si>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</si>
  <si>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</si>
  <si>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</si>
  <si>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</si>
  <si>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</si>
  <si>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</si>
  <si>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</si>
  <si>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</si>
  <si>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</si>
  <si>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</si>
  <si>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</si>
  <si>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</si>
  <si>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</si>
  <si>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</si>
  <si>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</si>
  <si>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</si>
  <si>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</si>
  <si>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</si>
  <si>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</si>
  <si>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</si>
  <si>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</si>
  <si>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</si>
  <si>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</si>
  <si>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</si>
  <si>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</si>
  <si>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</si>
  <si>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</si>
  <si>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</si>
  <si>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</si>
  <si>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</si>
  <si>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</si>
  <si>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</si>
  <si>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</si>
  <si>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</si>
  <si>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</si>
  <si>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</si>
  <si>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</si>
  <si>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</si>
  <si>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</si>
  <si>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</si>
  <si>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</si>
  <si>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</si>
  <si>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</si>
  <si>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</si>
  <si>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</si>
  <si>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</si>
  <si>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</si>
  <si>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</si>
  <si>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</si>
  <si>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</si>
  <si>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</si>
  <si>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</si>
  <si>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</si>
  <si>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</si>
  <si>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</si>
  <si>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</si>
  <si>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</si>
  <si>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</si>
  <si>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</si>
  <si>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</si>
  <si>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</si>
  <si>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</si>
  <si>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</si>
  <si>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</si>
  <si>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</si>
  <si>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</si>
  <si>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</si>
  <si>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</si>
  <si>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</si>
  <si>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</si>
  <si>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</si>
  <si>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</si>
  <si>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</si>
  <si>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</si>
  <si>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</si>
  <si>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</si>
  <si>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</si>
  <si>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</si>
  <si>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</si>
  <si>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</si>
  <si>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</si>
  <si>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</si>
  <si>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</si>
  <si>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</si>
  <si>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</si>
  <si>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</si>
  <si>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</si>
  <si>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</si>
  <si>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</si>
  <si>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</si>
  <si>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</si>
  <si>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</si>
  <si>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</si>
  <si>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</si>
  <si>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</si>
  <si>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</si>
  <si>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</si>
  <si>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</si>
  <si>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</si>
  <si>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</si>
  <si>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</si>
  <si>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</si>
  <si>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</si>
  <si>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</si>
  <si>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</si>
  <si>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</si>
  <si>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</si>
  <si>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</si>
  <si>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</si>
  <si>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</si>
  <si>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</si>
  <si>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</si>
  <si>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</si>
  <si>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</si>
  <si>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</si>
  <si>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</si>
  <si>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</si>
  <si>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</si>
  <si>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</si>
  <si>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</si>
  <si>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</si>
  <si>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</si>
  <si>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</si>
  <si>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</si>
  <si>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</si>
  <si>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</si>
  <si>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</si>
  <si>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</si>
  <si>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</si>
  <si>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</si>
  <si>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</si>
  <si>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</si>
  <si>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</si>
  <si>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</si>
  <si>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</si>
  <si>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</si>
  <si>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</si>
  <si>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</si>
  <si>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</si>
  <si>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</si>
  <si>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</si>
  <si>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</si>
  <si>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</si>
  <si>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</si>
  <si>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</si>
  <si>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</si>
  <si>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</si>
  <si>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</si>
  <si>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</si>
  <si>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</si>
  <si>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</si>
  <si>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</si>
  <si>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</si>
  <si>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</si>
  <si>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</si>
  <si>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</si>
  <si>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</si>
  <si>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</si>
  <si>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</si>
  <si>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</si>
  <si>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</si>
  <si>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</si>
  <si>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</si>
  <si>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</si>
  <si>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</si>
  <si>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</si>
  <si>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</si>
  <si>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</si>
  <si>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</si>
  <si>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</si>
  <si>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</si>
  <si>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</si>
  <si>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</si>
  <si>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</si>
  <si>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</si>
  <si>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</si>
  <si>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</si>
  <si>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</si>
  <si>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</si>
  <si>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</si>
  <si>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</si>
  <si>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</si>
  <si>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</si>
  <si>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</si>
  <si>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</si>
  <si>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</si>
  <si>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</si>
  <si>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</si>
  <si>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</si>
  <si>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</si>
  <si>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</si>
  <si>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</si>
  <si>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</si>
  <si>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</si>
  <si>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</si>
  <si>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</si>
  <si>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</si>
  <si>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</si>
  <si>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</si>
  <si>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</si>
  <si>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</si>
  <si>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</si>
  <si>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</si>
  <si>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</si>
  <si>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</si>
  <si>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</si>
  <si>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</si>
  <si>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</si>
  <si>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</si>
  <si>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</si>
  <si>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</si>
  <si>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</si>
  <si>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</si>
  <si>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</si>
  <si>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</si>
  <si>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</si>
  <si>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</si>
  <si>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</si>
  <si>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</si>
  <si>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</si>
  <si>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</si>
  <si>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</si>
  <si>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</si>
  <si>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</si>
  <si>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</si>
  <si>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</si>
  <si>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</si>
  <si>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</si>
  <si>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</si>
  <si>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</si>
  <si>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</si>
  <si>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</si>
  <si>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</si>
  <si>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</si>
  <si>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</si>
  <si>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</si>
  <si>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</si>
  <si>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</si>
  <si>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</si>
  <si>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</si>
  <si>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</si>
  <si>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</si>
  <si>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</si>
  <si>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</si>
  <si>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</si>
  <si>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</si>
  <si>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</si>
  <si>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</si>
  <si>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</si>
  <si>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</si>
  <si>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</si>
  <si>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</si>
  <si>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</si>
  <si>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</si>
  <si>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</si>
  <si>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</si>
  <si>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</si>
  <si>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</si>
  <si>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</si>
  <si>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</si>
  <si>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</si>
  <si>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</si>
  <si>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</si>
  <si>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</si>
  <si>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</si>
  <si>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</si>
  <si>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</si>
  <si>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</si>
  <si>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</si>
  <si>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</si>
  <si>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</si>
  <si>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</si>
  <si>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</si>
  <si>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</si>
  <si>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</si>
  <si>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</si>
  <si>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</si>
  <si>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</si>
  <si>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</si>
  <si>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</si>
  <si>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</si>
  <si>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</si>
  <si>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</si>
  <si>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</si>
  <si>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</si>
  <si>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</si>
  <si>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</si>
  <si>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</si>
  <si>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</si>
  <si>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</si>
  <si>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</si>
  <si>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</si>
  <si>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</si>
  <si>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</si>
  <si>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</si>
  <si>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</si>
  <si>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</si>
  <si>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</si>
  <si>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</si>
  <si>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</si>
  <si>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</si>
  <si>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</si>
  <si>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</si>
  <si>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</si>
  <si>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</si>
  <si>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</si>
  <si>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</si>
  <si>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</si>
  <si>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</si>
  <si>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</si>
  <si>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</si>
  <si>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</si>
  <si>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</si>
  <si>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</si>
  <si>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</si>
  <si>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</si>
  <si>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</si>
  <si>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</si>
  <si>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</si>
  <si>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</si>
  <si>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</si>
  <si>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</si>
  <si>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</si>
  <si>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</si>
  <si>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</si>
  <si>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</si>
  <si>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</si>
  <si>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</si>
  <si>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</si>
  <si>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</si>
  <si>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</si>
  <si>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</si>
  <si>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</si>
  <si>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</si>
  <si>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</si>
  <si>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</si>
  <si>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</si>
  <si>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</si>
  <si>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</si>
  <si>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</si>
  <si>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</si>
  <si>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</si>
  <si>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</si>
  <si>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</si>
  <si>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</si>
  <si>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</si>
  <si>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</si>
  <si>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</si>
  <si>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</si>
  <si>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</si>
  <si>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</si>
  <si>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</si>
  <si>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</si>
  <si>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</si>
  <si>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</si>
  <si>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</si>
  <si>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</si>
  <si>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</si>
  <si>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</si>
  <si>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</si>
  <si>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</si>
  <si>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</si>
  <si>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</si>
  <si>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</si>
  <si>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</si>
  <si>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</si>
  <si>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</si>
  <si>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</si>
  <si>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</si>
  <si>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</si>
  <si>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</si>
  <si>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</si>
  <si>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</si>
  <si>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</si>
  <si>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</si>
  <si>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</si>
  <si>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</si>
  <si>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</si>
  <si>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</si>
  <si>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</si>
  <si>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</si>
  <si>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</si>
  <si>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</si>
  <si>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</si>
  <si>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</si>
  <si>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</si>
  <si>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</si>
  <si>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</si>
  <si>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</si>
  <si>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</si>
  <si>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</si>
  <si>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</si>
  <si>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</si>
  <si>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</si>
  <si>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</si>
  <si>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</si>
  <si>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</si>
  <si>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</si>
  <si>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</si>
  <si>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</si>
  <si>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</si>
  <si>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</si>
  <si>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</si>
  <si>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</si>
  <si>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</si>
  <si>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</si>
  <si>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</si>
  <si>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</si>
  <si>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</si>
  <si>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</si>
  <si>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</si>
  <si>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</si>
  <si>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</si>
  <si>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</si>
  <si>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</si>
  <si>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</si>
  <si>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</si>
  <si>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</si>
  <si>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</si>
  <si>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</si>
  <si>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</si>
  <si>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</si>
  <si>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</si>
  <si>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</si>
  <si>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</si>
  <si>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</si>
  <si>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</si>
  <si>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</si>
  <si>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</si>
  <si>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</si>
  <si>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</si>
  <si>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</si>
  <si>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</si>
  <si>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</si>
  <si>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</si>
  <si>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</si>
  <si>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</si>
  <si>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</si>
  <si>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</si>
  <si>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</si>
  <si>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</si>
  <si>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</si>
  <si>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</si>
  <si>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</si>
  <si>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</si>
  <si>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</si>
  <si>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</si>
  <si>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</si>
  <si>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</si>
  <si>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</si>
  <si>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</si>
  <si>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</si>
  <si>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</si>
  <si>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</si>
  <si>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</si>
  <si>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</si>
  <si>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</si>
  <si>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</si>
  <si>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</si>
  <si>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</si>
  <si>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</si>
  <si>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</si>
  <si>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</si>
  <si>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</si>
  <si>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</si>
  <si>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</si>
  <si>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</si>
  <si>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</si>
  <si>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</si>
  <si>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</si>
  <si>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</si>
  <si>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</si>
  <si>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</si>
  <si>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</si>
  <si>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</si>
  <si>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</si>
  <si>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</si>
  <si>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</si>
  <si>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</si>
  <si>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</si>
  <si>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</si>
  <si>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</si>
  <si>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</si>
  <si>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</si>
  <si>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</si>
  <si>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</si>
  <si>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</si>
  <si>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</si>
  <si>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</si>
  <si>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</si>
  <si>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</si>
  <si>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</si>
  <si>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</si>
  <si>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</si>
  <si>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</si>
  <si>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</si>
  <si>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</si>
  <si>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</si>
  <si>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</si>
  <si>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</si>
  <si>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</si>
  <si>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</si>
  <si>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</si>
  <si>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</si>
  <si>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</si>
  <si>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</si>
  <si>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</si>
  <si>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</si>
  <si>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</si>
  <si>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</si>
  <si>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</si>
  <si>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</si>
  <si>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</si>
  <si>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</si>
  <si>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</si>
  <si>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</si>
  <si>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</si>
  <si>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</si>
  <si>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</si>
  <si>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</si>
  <si>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</si>
  <si>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</si>
  <si>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</si>
  <si>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</si>
  <si>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</si>
  <si>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</si>
  <si>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</si>
  <si>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</si>
  <si>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</si>
  <si>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</si>
  <si>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</si>
  <si>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</si>
  <si>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</si>
  <si>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</si>
  <si>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</si>
  <si>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</si>
  <si>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</si>
  <si>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</si>
  <si>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</si>
  <si>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</si>
  <si>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</si>
  <si>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</si>
  <si>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</si>
  <si>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</si>
  <si>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</si>
  <si>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</si>
  <si>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</si>
  <si>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</si>
  <si>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</si>
  <si>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</si>
  <si>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</si>
  <si>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</si>
  <si>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</si>
  <si>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</si>
  <si>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</si>
  <si>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</si>
  <si>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</si>
  <si>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</si>
  <si>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</si>
  <si>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</si>
  <si>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</si>
  <si>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</si>
  <si>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</si>
  <si>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</si>
  <si>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</si>
  <si>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</si>
  <si>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</si>
  <si>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</si>
  <si>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</si>
  <si>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</si>
  <si>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</si>
  <si>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</si>
  <si>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</si>
  <si>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</si>
  <si>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</si>
  <si>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</si>
  <si>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</si>
  <si>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</si>
  <si>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</si>
  <si>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</si>
  <si>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</si>
  <si>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</si>
  <si>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</si>
  <si>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</si>
  <si>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</si>
  <si>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</si>
  <si>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</si>
  <si>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</si>
  <si>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</si>
  <si>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</si>
  <si>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</si>
  <si>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</si>
  <si>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</si>
  <si>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</si>
  <si>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</si>
  <si>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</si>
  <si>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</si>
  <si>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</si>
  <si>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</si>
  <si>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</si>
  <si>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</si>
  <si>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</si>
  <si>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</si>
  <si>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</si>
  <si>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</si>
  <si>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</si>
  <si>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</si>
  <si>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</si>
  <si>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</si>
  <si>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</si>
  <si>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</si>
  <si>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</si>
  <si>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</si>
  <si>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</si>
  <si>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</si>
  <si>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</si>
  <si>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</si>
  <si>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</si>
  <si>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</si>
  <si>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</si>
  <si>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</si>
  <si>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</si>
  <si>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</si>
  <si>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</si>
  <si>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</si>
  <si>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</si>
  <si>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</si>
  <si>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</si>
  <si>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</si>
  <si>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</si>
  <si>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</si>
  <si>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</si>
  <si>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</si>
  <si>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</si>
  <si>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</si>
  <si>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</si>
  <si>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</si>
  <si>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</si>
  <si>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</si>
  <si>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</si>
  <si>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</si>
  <si>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</si>
  <si>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</si>
  <si>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</si>
  <si>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</si>
  <si>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</si>
  <si>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</si>
  <si>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</si>
  <si>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</si>
  <si>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</si>
  <si>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</si>
  <si>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</si>
  <si>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</si>
  <si>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</si>
  <si>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</si>
  <si>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</si>
  <si>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</si>
  <si>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</si>
  <si>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</si>
  <si>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</si>
  <si>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</si>
  <si>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</si>
  <si>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</si>
  <si>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</si>
  <si>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</si>
  <si>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</si>
  <si>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</si>
  <si>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</si>
  <si>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</si>
  <si>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</si>
  <si>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</si>
  <si>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</si>
  <si>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</si>
  <si>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</si>
  <si>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</si>
  <si>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</si>
  <si>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</si>
  <si>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</si>
  <si>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</si>
  <si>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</si>
  <si>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</si>
  <si>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</si>
  <si>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</si>
  <si>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</si>
  <si>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</si>
  <si>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</si>
  <si>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</si>
  <si>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</si>
  <si>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</si>
  <si>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</si>
  <si>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</si>
  <si>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</si>
  <si>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</si>
  <si>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</si>
  <si>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</si>
  <si>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</si>
  <si>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</si>
  <si>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</si>
  <si>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</si>
  <si>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</si>
  <si>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</si>
  <si>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</si>
  <si>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</si>
  <si>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</si>
  <si>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</si>
  <si>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</si>
  <si>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</si>
  <si>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</si>
  <si>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</si>
  <si>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</si>
  <si>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</si>
  <si>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</si>
  <si>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</si>
  <si>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</si>
  <si>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</si>
  <si>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</si>
  <si>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</si>
  <si>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</si>
  <si>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</si>
  <si>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</si>
  <si>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</si>
  <si>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</si>
  <si>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</si>
  <si>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</si>
  <si>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</si>
  <si>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</si>
  <si>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</si>
  <si>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</si>
  <si>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</si>
  <si>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</si>
  <si>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</si>
  <si>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</si>
  <si>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</si>
  <si>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</si>
  <si>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</si>
  <si>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</si>
  <si>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</si>
  <si>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</si>
  <si>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</si>
  <si>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</si>
  <si>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</si>
  <si>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</si>
  <si>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</si>
  <si>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</si>
  <si>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</si>
  <si>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</si>
  <si>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</si>
  <si>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</si>
  <si>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</si>
  <si>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</si>
  <si>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</si>
  <si>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</si>
  <si>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</si>
  <si>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</si>
  <si>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</si>
  <si>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</si>
  <si>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</si>
  <si>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</si>
  <si>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</si>
  <si>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</si>
  <si>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</si>
  <si>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</si>
  <si>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</si>
  <si>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</si>
  <si>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</si>
  <si>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</si>
  <si>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</si>
  <si>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</si>
  <si>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</si>
  <si>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</si>
  <si>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</si>
  <si>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</si>
  <si>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</si>
  <si>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</si>
  <si>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</si>
  <si>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</si>
  <si>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</si>
  <si>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</si>
  <si>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</si>
  <si>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</si>
  <si>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</si>
  <si>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</si>
  <si>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</si>
  <si>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</si>
  <si>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</si>
  <si>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</si>
  <si>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</si>
  <si>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</si>
  <si>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</si>
  <si>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sasi</t>
  </si>
  <si>
    <t>kishor</t>
  </si>
  <si>
    <t xml:space="preserve">sai </t>
  </si>
  <si>
    <t xml:space="preserve">srinvas </t>
  </si>
  <si>
    <t>ramesh</t>
  </si>
  <si>
    <t>call count</t>
  </si>
  <si>
    <t>total amount</t>
  </si>
  <si>
    <t>total duration</t>
  </si>
  <si>
    <t>avg.rating</t>
  </si>
  <si>
    <t>5*calls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</si>
  <si>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</si>
  <si>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</si>
  <si>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</si>
  <si>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</si>
  <si>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</si>
  <si>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</si>
  <si>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</si>
  <si>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</si>
  <si>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</si>
  <si>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</si>
  <si>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</si>
  <si>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</si>
  <si>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</si>
  <si>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</si>
  <si>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</si>
  <si>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</si>
  <si>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</si>
  <si>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</si>
  <si>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</si>
  <si>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</si>
  <si>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</si>
  <si>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</si>
  <si>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</si>
  <si>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</si>
  <si>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</si>
  <si>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</si>
  <si>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sel.calls</t>
  </si>
  <si>
    <t>sel.Amount</t>
  </si>
  <si>
    <t>selected rep</t>
  </si>
  <si>
    <t>Column Labels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</si>
  <si>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</si>
  <si>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</si>
  <si>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</si>
  <si>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</si>
  <si>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</si>
  <si>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</si>
  <si>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</si>
  <si>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</si>
  <si>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</si>
  <si>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</si>
  <si>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</si>
  <si>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</si>
  <si>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</si>
  <si>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30 to 60 mins</t>
  </si>
  <si>
    <t>1 to 2 hours</t>
  </si>
  <si>
    <t>10 to 30 mins</t>
  </si>
  <si>
    <t>More than 2 hours</t>
  </si>
  <si>
    <t>Under 10 mins</t>
  </si>
  <si>
    <t>Data returned for call count, 3, R03 (First 1000 rows).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</si>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</sst>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
    <numFmt numFmtId="166" formatCode="&quot;€&quot;\ #,##0;\-&quot;€&quot;\ #,##0;&quot;€&quot;\ #,##0"/>
    <numFmt numFmtId="167" formatCode="&quot;€&quot;#,###.0,&quot;k&quot;"/>
    <numFmt numFmtId="168" formatCode="&quot;€&quot;#,##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sz val="10"/>
      <color theme="1"/>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4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left"/>
    </xf>
    <xf numFmtId="167" fontId="0" fillId="0" borderId="0" xfId="0" applyNumberFormat="1"/>
    <xf numFmtId="0" fontId="0" fillId="4" borderId="0" xfId="0" applyFill="1" applyAlignment="1">
      <alignment horizontal="left"/>
    </xf>
    <xf numFmtId="14" fontId="0" fillId="0" borderId="0" xfId="0" applyNumberFormat="1"/>
    <xf numFmtId="0" fontId="0" fillId="0" borderId="0" xfId="0" applyAlignment="1">
      <alignment horizontal="left" indent="1"/>
    </xf>
    <xf numFmtId="0" fontId="4" fillId="5" borderId="0" xfId="0" applyFont="1" applyFill="1"/>
    <xf numFmtId="0" fontId="4" fillId="5" borderId="0" xfId="0" applyFont="1" applyFill="1" applyAlignment="1">
      <alignment horizontal="left" indent="1"/>
    </xf>
    <xf numFmtId="168" fontId="4" fillId="5" borderId="0" xfId="0" applyNumberFormat="1" applyFont="1" applyFill="1"/>
    <xf numFmtId="0" fontId="5" fillId="5" borderId="0" xfId="0" applyFont="1" applyFill="1"/>
  </cellXfs>
  <cellStyles count="1">
    <cellStyle name="Normal" xfId="0" builtinId="0"/>
  </cellStyles>
  <dxfs count="21">
    <dxf>
      <fill>
        <patternFill>
          <bgColor theme="8" tint="0.59996337778862885"/>
        </patternFill>
      </fill>
      <border>
        <left style="thin">
          <color theme="1" tint="0.34998626667073579"/>
        </left>
        <right style="thin">
          <color theme="1" tint="0.34998626667073579"/>
        </right>
        <vertical/>
        <horizontal/>
      </border>
    </dxf>
    <dxf>
      <fill>
        <patternFill>
          <bgColor theme="8"/>
        </patternFill>
      </fill>
    </dxf>
    <dxf>
      <fill>
        <patternFill patternType="solid">
          <bgColor theme="9"/>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9" formatCode="dd/mm/yyyy"/>
    </dxf>
    <dxf>
      <font>
        <b/>
        <color theme="1"/>
      </font>
      <border>
        <bottom style="thin">
          <color theme="8"/>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0"/>
    </tableStyle>
    <tableStyle name="SlicerStyleLight5 2" pivot="0" table="0" count="10" xr9:uid="{474C5408-6A0F-438D-A7BE-3A5A4695C20C}">
      <tableStyleElement type="wholeTable" dxfId="19"/>
      <tableStyleElement type="headerRow" dxfId="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[sasi final file.xlsx]pivort!week day trend</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pivotFmt>
      <c:pivotFmt>
        <c:idx val="7"/>
        <c:spPr>
          <a:solidFill>
            <a:schemeClr val="accent5"/>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s>
    <c:plotArea>
      <c:layout/>
      <c:barChart>
        <c:barDir val="bar"/>
        <c:grouping val="clustered"/>
        <c:varyColors val="0"/>
        <c:ser>
          <c:idx val="0"/>
          <c:order val="0"/>
          <c:tx>
            <c:strRef>
              <c:f>pivort!$T$27</c:f>
              <c:strCache>
                <c:ptCount val="1"/>
                <c:pt idx="0">
                  <c:v>Total</c:v>
                </c:pt>
              </c:strCache>
            </c:strRef>
          </c:tx>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2-8FB9-4DFF-9242-25FA4A177245}"/>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8FB9-4DFF-9242-25FA4A177245}"/>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1-8FB9-4DFF-9242-25FA4A177245}"/>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4-8FB9-4DFF-9242-25FA4A17724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5-8FB9-4DFF-9242-25FA4A177245}"/>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6-8FB9-4DFF-9242-25FA4A177245}"/>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7-8FB9-4DFF-9242-25FA4A1772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pivort!$S$28:$S$35</c:f>
              <c:strCache>
                <c:ptCount val="7"/>
                <c:pt idx="0">
                  <c:v>Monday</c:v>
                </c:pt>
                <c:pt idx="1">
                  <c:v>Tuesday</c:v>
                </c:pt>
                <c:pt idx="2">
                  <c:v>Wednesday</c:v>
                </c:pt>
                <c:pt idx="3">
                  <c:v>Thursday</c:v>
                </c:pt>
                <c:pt idx="4">
                  <c:v>Friday</c:v>
                </c:pt>
                <c:pt idx="5">
                  <c:v>Saturday</c:v>
                </c:pt>
                <c:pt idx="6">
                  <c:v>Sunday</c:v>
                </c:pt>
              </c:strCache>
            </c:strRef>
          </c:cat>
          <c:val>
            <c:numRef>
              <c:f>pivort!$T$28:$T$35</c:f>
              <c:numCache>
                <c:formatCode>#,##0</c:formatCode>
                <c:ptCount val="7"/>
                <c:pt idx="0">
                  <c:v>34</c:v>
                </c:pt>
                <c:pt idx="1">
                  <c:v>26</c:v>
                </c:pt>
                <c:pt idx="2">
                  <c:v>38</c:v>
                </c:pt>
                <c:pt idx="3">
                  <c:v>27</c:v>
                </c:pt>
                <c:pt idx="4">
                  <c:v>27</c:v>
                </c:pt>
                <c:pt idx="5">
                  <c:v>25</c:v>
                </c:pt>
                <c:pt idx="6">
                  <c:v>30</c:v>
                </c:pt>
              </c:numCache>
            </c:numRef>
          </c:val>
          <c:extLst>
            <c:ext xmlns:c16="http://schemas.microsoft.com/office/drawing/2014/chart" uri="{C3380CC4-5D6E-409C-BE32-E72D297353CC}">
              <c16:uniqueId val="{00000000-8FB9-4DFF-9242-25FA4A177245}"/>
            </c:ext>
          </c:extLst>
        </c:ser>
        <c:dLbls>
          <c:dLblPos val="outEnd"/>
          <c:showLegendKey val="0"/>
          <c:showVal val="1"/>
          <c:showCatName val="0"/>
          <c:showSerName val="0"/>
          <c:showPercent val="0"/>
          <c:showBubbleSize val="0"/>
        </c:dLbls>
        <c:gapWidth val="25"/>
        <c:axId val="522953775"/>
        <c:axId val="526000687"/>
      </c:barChart>
      <c:catAx>
        <c:axId val="522953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000687"/>
        <c:crosses val="autoZero"/>
        <c:auto val="1"/>
        <c:lblAlgn val="ctr"/>
        <c:lblOffset val="100"/>
        <c:noMultiLvlLbl val="0"/>
      </c:catAx>
      <c:valAx>
        <c:axId val="526000687"/>
        <c:scaling>
          <c:orientation val="minMax"/>
        </c:scaling>
        <c:delete val="1"/>
        <c:axPos val="b"/>
        <c:numFmt formatCode="#,##0" sourceLinked="1"/>
        <c:majorTickMark val="out"/>
        <c:minorTickMark val="none"/>
        <c:tickLblPos val="nextTo"/>
        <c:crossAx val="52295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[sasi final file.xlsx]pivort!monthly 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t> </a:t>
            </a:r>
            <a:r>
              <a:rPr lang="en-IE" sz="1800">
                <a:solidFill>
                  <a:schemeClr val="accent6"/>
                </a:solidFill>
                <a:latin typeface="+mj-lt"/>
              </a:rPr>
              <a:t>call</a:t>
            </a:r>
            <a:r>
              <a:rPr lang="en-IE" sz="1800" baseline="0">
                <a:solidFill>
                  <a:schemeClr val="accent6"/>
                </a:solidFill>
                <a:latin typeface="+mj-lt"/>
              </a:rPr>
              <a:t> Trend</a:t>
            </a:r>
            <a:endParaRPr lang="en-IE" sz="1800">
              <a:solidFill>
                <a:schemeClr val="accent6"/>
              </a:solidFill>
              <a:latin typeface="+mj-lt"/>
            </a:endParaRPr>
          </a:p>
        </c:rich>
      </c:tx>
      <c:layout>
        <c:manualLayout>
          <c:xMode val="edge"/>
          <c:yMode val="edge"/>
          <c:x val="3.2638888888888891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schemeClr>
              </a:gs>
              <a:gs pos="100000">
                <a:schemeClr val="accent6">
                  <a:alpha val="5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pivort!$D$24</c:f>
              <c:strCache>
                <c:ptCount val="1"/>
                <c:pt idx="0">
                  <c:v>call count2</c:v>
                </c:pt>
              </c:strCache>
            </c:strRef>
          </c:tx>
          <c:spPr>
            <a:gradFill flip="none" rotWithShape="1">
              <a:gsLst>
                <a:gs pos="0">
                  <a:schemeClr val="accent6">
                    <a:lumMod val="60000"/>
                    <a:lumOff val="40000"/>
                  </a:schemeClr>
                </a:gs>
                <a:gs pos="100000">
                  <a:schemeClr val="accent6">
                    <a:alpha val="50000"/>
                  </a:schemeClr>
                </a:gs>
              </a:gsLst>
              <a:lin ang="16200000" scaled="1"/>
              <a:tileRect/>
            </a:gradFill>
            <a:ln>
              <a:noFill/>
            </a:ln>
            <a:effectLst/>
          </c:spPr>
          <c:cat>
            <c:strRef>
              <c:f>pivort!$B$25:$B$37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pivort!$D$25:$D$37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31B6-43A0-B183-12C1C10F6D4C}"/>
            </c:ext>
          </c:extLst>
        </c:ser>
        <c:dLbls>
          <c:showLegendKey val="0"/>
          <c:showVal val="0"/>
          <c:showCatName val="0"/>
          <c:showSerName val="0"/>
          <c:showPercent val="0"/>
          <c:showBubbleSize val="0"/>
        </c:dLbls>
        <c:axId val="124994879"/>
        <c:axId val="124997279"/>
      </c:areaChart>
      <c:lineChart>
        <c:grouping val="standard"/>
        <c:varyColors val="0"/>
        <c:ser>
          <c:idx val="0"/>
          <c:order val="0"/>
          <c:tx>
            <c:strRef>
              <c:f>pivort!$C$24</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cat>
            <c:strRef>
              <c:f>pivort!$B$25:$B$37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pivort!$C$25:$C$37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31B6-43A0-B183-12C1C10F6D4C}"/>
            </c:ext>
          </c:extLst>
        </c:ser>
        <c:dLbls>
          <c:showLegendKey val="0"/>
          <c:showVal val="0"/>
          <c:showCatName val="0"/>
          <c:showSerName val="0"/>
          <c:showPercent val="0"/>
          <c:showBubbleSize val="0"/>
        </c:dLbls>
        <c:marker val="1"/>
        <c:smooth val="0"/>
        <c:axId val="124994879"/>
        <c:axId val="124997279"/>
      </c:lineChart>
      <c:catAx>
        <c:axId val="124994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7279"/>
        <c:crosses val="autoZero"/>
        <c:auto val="1"/>
        <c:lblAlgn val="ctr"/>
        <c:lblOffset val="100"/>
        <c:noMultiLvlLbl val="0"/>
      </c:catAx>
      <c:valAx>
        <c:axId val="124997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solidFill>
                  <a:schemeClr val="accent5"/>
                </a:solidFill>
                <a:latin typeface="+mj-lt"/>
              </a:rPr>
              <a:t>AMOUNT</a:t>
            </a:r>
            <a:r>
              <a:rPr lang="en-IE"/>
              <a:t> </a:t>
            </a:r>
          </a:p>
        </c:rich>
      </c:tx>
      <c:layout>
        <c:manualLayout>
          <c:xMode val="edge"/>
          <c:yMode val="edge"/>
          <c:x val="0.65068614314737749"/>
          <c:y val="2.81368737053160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pivort!$I$51:$I$55</c:f>
              <c:strCache>
                <c:ptCount val="5"/>
                <c:pt idx="0">
                  <c:v>R01</c:v>
                </c:pt>
                <c:pt idx="1">
                  <c:v>R02</c:v>
                </c:pt>
                <c:pt idx="2">
                  <c:v>R03</c:v>
                </c:pt>
                <c:pt idx="3">
                  <c:v>R04</c:v>
                </c:pt>
                <c:pt idx="4">
                  <c:v>R05</c:v>
                </c:pt>
              </c:strCache>
            </c:strRef>
          </c:cat>
          <c:val>
            <c:numRef>
              <c:f>pivort!$K$51:$K$55</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FBC-455D-89EE-0C5B8F3083CE}"/>
            </c:ext>
          </c:extLst>
        </c:ser>
        <c:ser>
          <c:idx val="1"/>
          <c:order val="1"/>
          <c:tx>
            <c:strRef>
              <c:f>pivort!$M$50</c:f>
              <c:strCache>
                <c:ptCount val="1"/>
                <c:pt idx="0">
                  <c:v>sel.Amount</c:v>
                </c:pt>
              </c:strCache>
            </c:strRef>
          </c:tx>
          <c:spPr>
            <a:gradFill>
              <a:gsLst>
                <a:gs pos="61000">
                  <a:srgbClr val="F44D23"/>
                </a:gs>
                <a:gs pos="0">
                  <a:schemeClr val="accent1"/>
                </a:gs>
              </a:gsLst>
              <a:lin ang="16200000" scaled="0"/>
            </a:gradFill>
            <a:ln>
              <a:noFill/>
            </a:ln>
            <a:effectLst/>
          </c:spPr>
          <c:invertIfNegative val="0"/>
          <c:val>
            <c:numRef>
              <c:f>pivort!$M$51:$M$55</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2FBC-455D-89EE-0C5B8F3083CE}"/>
            </c:ext>
          </c:extLst>
        </c:ser>
        <c:dLbls>
          <c:showLegendKey val="0"/>
          <c:showVal val="0"/>
          <c:showCatName val="0"/>
          <c:showSerName val="0"/>
          <c:showPercent val="0"/>
          <c:showBubbleSize val="0"/>
        </c:dLbls>
        <c:gapWidth val="25"/>
        <c:overlap val="100"/>
        <c:axId val="1538021423"/>
        <c:axId val="1538021903"/>
      </c:barChart>
      <c:catAx>
        <c:axId val="1538021423"/>
        <c:scaling>
          <c:orientation val="maxMin"/>
        </c:scaling>
        <c:delete val="1"/>
        <c:axPos val="l"/>
        <c:numFmt formatCode="General" sourceLinked="1"/>
        <c:majorTickMark val="none"/>
        <c:minorTickMark val="none"/>
        <c:tickLblPos val="nextTo"/>
        <c:crossAx val="1538021903"/>
        <c:crosses val="autoZero"/>
        <c:auto val="1"/>
        <c:lblAlgn val="ctr"/>
        <c:lblOffset val="100"/>
        <c:noMultiLvlLbl val="0"/>
      </c:catAx>
      <c:valAx>
        <c:axId val="1538021903"/>
        <c:scaling>
          <c:orientation val="minMax"/>
        </c:scaling>
        <c:delete val="1"/>
        <c:axPos val="t"/>
        <c:majorGridlines>
          <c:spPr>
            <a:ln w="9525" cap="flat" cmpd="sng" algn="ctr">
              <a:noFill/>
              <a:round/>
            </a:ln>
            <a:effectLst/>
          </c:spPr>
        </c:majorGridlines>
        <c:numFmt formatCode="&quot;€&quot;#,###.0,&quot;k&quot;" sourceLinked="1"/>
        <c:majorTickMark val="none"/>
        <c:minorTickMark val="none"/>
        <c:tickLblPos val="nextTo"/>
        <c:crossAx val="15380214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solidFill>
                  <a:schemeClr val="accent5"/>
                </a:solidFill>
                <a:latin typeface="+mj-lt"/>
              </a:rPr>
              <a:t>CALLS</a:t>
            </a:r>
          </a:p>
        </c:rich>
      </c:tx>
      <c:layout>
        <c:manualLayout>
          <c:xMode val="edge"/>
          <c:yMode val="edge"/>
          <c:x val="3.2907425899366842E-2"/>
          <c:y val="2.2940254185241649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pivort!$I$51:$I$55</c:f>
              <c:strCache>
                <c:ptCount val="5"/>
                <c:pt idx="0">
                  <c:v>R01</c:v>
                </c:pt>
                <c:pt idx="1">
                  <c:v>R02</c:v>
                </c:pt>
                <c:pt idx="2">
                  <c:v>R03</c:v>
                </c:pt>
                <c:pt idx="3">
                  <c:v>R04</c:v>
                </c:pt>
                <c:pt idx="4">
                  <c:v>R05</c:v>
                </c:pt>
              </c:strCache>
            </c:strRef>
          </c:cat>
          <c:val>
            <c:numRef>
              <c:f>pivort!$J$51:$J$55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58F-40EA-B25E-72441E263D37}"/>
            </c:ext>
          </c:extLst>
        </c:ser>
        <c:ser>
          <c:idx val="1"/>
          <c:order val="1"/>
          <c:tx>
            <c:strRef>
              <c:f>pivort!$L$50</c:f>
              <c:strCache>
                <c:ptCount val="1"/>
                <c:pt idx="0">
                  <c:v>sel.calls</c:v>
                </c:pt>
              </c:strCache>
            </c:strRef>
          </c:tx>
          <c:spPr>
            <a:gradFill>
              <a:gsLst>
                <a:gs pos="0">
                  <a:schemeClr val="accent6"/>
                </a:gs>
                <a:gs pos="77628">
                  <a:srgbClr val="FC7222"/>
                </a:gs>
                <a:gs pos="46860">
                  <a:srgbClr val="F85E23"/>
                </a:gs>
                <a:gs pos="34233">
                  <a:srgbClr val="F65623"/>
                </a:gs>
                <a:gs pos="19600">
                  <a:srgbClr val="F44D23"/>
                </a:gs>
                <a:gs pos="100000">
                  <a:schemeClr val="accent5"/>
                </a:gs>
              </a:gsLst>
              <a:lin ang="16200000" scaled="0"/>
            </a:gradFill>
            <a:ln>
              <a:noFill/>
            </a:ln>
            <a:effectLst/>
          </c:spPr>
          <c:invertIfNegative val="0"/>
          <c:val>
            <c:numRef>
              <c:f>pivort!$L$51:$L$55</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558F-40EA-B25E-72441E263D37}"/>
            </c:ext>
          </c:extLst>
        </c:ser>
        <c:dLbls>
          <c:showLegendKey val="0"/>
          <c:showVal val="0"/>
          <c:showCatName val="0"/>
          <c:showSerName val="0"/>
          <c:showPercent val="0"/>
          <c:showBubbleSize val="0"/>
        </c:dLbls>
        <c:gapWidth val="25"/>
        <c:overlap val="100"/>
        <c:axId val="1538021423"/>
        <c:axId val="1538021903"/>
      </c:barChart>
      <c:catAx>
        <c:axId val="15380214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21903"/>
        <c:crosses val="autoZero"/>
        <c:auto val="1"/>
        <c:lblAlgn val="ctr"/>
        <c:lblOffset val="100"/>
        <c:noMultiLvlLbl val="0"/>
      </c:catAx>
      <c:valAx>
        <c:axId val="1538021903"/>
        <c:scaling>
          <c:orientation val="minMax"/>
          <c:min val="0"/>
        </c:scaling>
        <c:delete val="1"/>
        <c:axPos val="t"/>
        <c:majorGridlines>
          <c:spPr>
            <a:ln w="9525" cap="flat" cmpd="sng" algn="ctr">
              <a:noFill/>
              <a:round/>
            </a:ln>
            <a:effectLst/>
          </c:spPr>
        </c:majorGridlines>
        <c:numFmt formatCode="General" sourceLinked="1"/>
        <c:majorTickMark val="none"/>
        <c:minorTickMark val="none"/>
        <c:tickLblPos val="nextTo"/>
        <c:crossAx val="153802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[sasi final file.xlsx]pivort!PivotTable7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sz="1000">
                <a:solidFill>
                  <a:schemeClr val="accent5"/>
                </a:solidFill>
                <a:latin typeface="+mj-lt"/>
              </a:rPr>
              <a:t>FEMALE</a:t>
            </a:r>
            <a:r>
              <a:rPr lang="en-IE" sz="1000" baseline="0">
                <a:solidFill>
                  <a:schemeClr val="accent5"/>
                </a:solidFill>
                <a:latin typeface="+mj-lt"/>
              </a:rPr>
              <a:t> </a:t>
            </a:r>
            <a:r>
              <a:rPr lang="en-IE" sz="1000">
                <a:latin typeface="+mj-lt"/>
              </a:rPr>
              <a:t>VS. </a:t>
            </a:r>
            <a:r>
              <a:rPr lang="en-IE" sz="1000">
                <a:solidFill>
                  <a:schemeClr val="accent4"/>
                </a:solidFill>
                <a:latin typeface="+mj-lt"/>
              </a:rPr>
              <a:t>MALE</a:t>
            </a:r>
            <a:r>
              <a:rPr lang="en-IE" sz="1000">
                <a:latin typeface="+mj-lt"/>
              </a:rPr>
              <a:t> CALLERS</a:t>
            </a:r>
            <a:r>
              <a:rPr lang="en-IE" sz="1000" baseline="0">
                <a:latin typeface="+mj-lt"/>
              </a:rPr>
              <a:t> </a:t>
            </a:r>
            <a:endParaRPr lang="en-IE" sz="1000">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pivort!$B$84:$B$85</c:f>
              <c:strCache>
                <c:ptCount val="1"/>
                <c:pt idx="0">
                  <c:v>Female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pivort!$A$86:$A$89</c:f>
              <c:strCache>
                <c:ptCount val="3"/>
                <c:pt idx="0">
                  <c:v>Cincinnati</c:v>
                </c:pt>
                <c:pt idx="1">
                  <c:v>Cleveland</c:v>
                </c:pt>
                <c:pt idx="2">
                  <c:v>Columbus</c:v>
                </c:pt>
              </c:strCache>
            </c:strRef>
          </c:cat>
          <c:val>
            <c:numRef>
              <c:f>pivort!$B$86:$B$89</c:f>
              <c:numCache>
                <c:formatCode>#,##0</c:formatCode>
                <c:ptCount val="3"/>
                <c:pt idx="0">
                  <c:v>144</c:v>
                </c:pt>
                <c:pt idx="1">
                  <c:v>326</c:v>
                </c:pt>
                <c:pt idx="2">
                  <c:v>129</c:v>
                </c:pt>
              </c:numCache>
            </c:numRef>
          </c:val>
          <c:extLst>
            <c:ext xmlns:c16="http://schemas.microsoft.com/office/drawing/2014/chart" uri="{C3380CC4-5D6E-409C-BE32-E72D297353CC}">
              <c16:uniqueId val="{00000000-B2FB-4861-BFE1-294B14CB2835}"/>
            </c:ext>
          </c:extLst>
        </c:ser>
        <c:ser>
          <c:idx val="1"/>
          <c:order val="1"/>
          <c:tx>
            <c:strRef>
              <c:f>pivort!$C$84:$C$85</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pivort!$A$86:$A$89</c:f>
              <c:strCache>
                <c:ptCount val="3"/>
                <c:pt idx="0">
                  <c:v>Cincinnati</c:v>
                </c:pt>
                <c:pt idx="1">
                  <c:v>Cleveland</c:v>
                </c:pt>
                <c:pt idx="2">
                  <c:v>Columbus</c:v>
                </c:pt>
              </c:strCache>
            </c:strRef>
          </c:cat>
          <c:val>
            <c:numRef>
              <c:f>pivort!$C$86:$C$89</c:f>
              <c:numCache>
                <c:formatCode>#,##0</c:formatCode>
                <c:ptCount val="3"/>
                <c:pt idx="0">
                  <c:v>132</c:v>
                </c:pt>
                <c:pt idx="1">
                  <c:v>63</c:v>
                </c:pt>
                <c:pt idx="2">
                  <c:v>206</c:v>
                </c:pt>
              </c:numCache>
            </c:numRef>
          </c:val>
          <c:extLst>
            <c:ext xmlns:c16="http://schemas.microsoft.com/office/drawing/2014/chart" uri="{C3380CC4-5D6E-409C-BE32-E72D297353CC}">
              <c16:uniqueId val="{00000001-B2FB-4861-BFE1-294B14CB2835}"/>
            </c:ext>
          </c:extLst>
        </c:ser>
        <c:dLbls>
          <c:dLblPos val="ctr"/>
          <c:showLegendKey val="0"/>
          <c:showVal val="1"/>
          <c:showCatName val="0"/>
          <c:showSerName val="0"/>
          <c:showPercent val="0"/>
          <c:showBubbleSize val="0"/>
        </c:dLbls>
        <c:gapWidth val="25"/>
        <c:overlap val="100"/>
        <c:axId val="57742687"/>
        <c:axId val="57741727"/>
      </c:barChart>
      <c:catAx>
        <c:axId val="5774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41727"/>
        <c:crosses val="autoZero"/>
        <c:auto val="1"/>
        <c:lblAlgn val="ctr"/>
        <c:lblOffset val="100"/>
        <c:noMultiLvlLbl val="0"/>
      </c:catAx>
      <c:valAx>
        <c:axId val="57741727"/>
        <c:scaling>
          <c:orientation val="minMax"/>
        </c:scaling>
        <c:delete val="1"/>
        <c:axPos val="l"/>
        <c:numFmt formatCode="0%" sourceLinked="1"/>
        <c:majorTickMark val="none"/>
        <c:minorTickMark val="none"/>
        <c:tickLblPos val="nextTo"/>
        <c:crossAx val="5774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[sasi final file.xlsx]pivort!rep satisfaction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solidFill>
                  <a:schemeClr val="accent3">
                    <a:lumMod val="75000"/>
                  </a:schemeClr>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pivort!$B$98</c:f>
              <c:strCache>
                <c:ptCount val="1"/>
                <c:pt idx="0">
                  <c:v>Total</c:v>
                </c:pt>
              </c:strCache>
            </c:strRef>
          </c:tx>
          <c:spPr>
            <a:solidFill>
              <a:schemeClr val="accent3">
                <a:lumMod val="60000"/>
                <a:lumOff val="40000"/>
              </a:schemeClr>
            </a:solidFill>
            <a:ln>
              <a:noFill/>
            </a:ln>
            <a:effectLst/>
          </c:spPr>
          <c:invertIfNegative val="0"/>
          <c:cat>
            <c:strRef>
              <c:f>pivort!$A$99:$A$105</c:f>
              <c:strCache>
                <c:ptCount val="6"/>
                <c:pt idx="0">
                  <c:v>0</c:v>
                </c:pt>
                <c:pt idx="1">
                  <c:v>1</c:v>
                </c:pt>
                <c:pt idx="2">
                  <c:v>2</c:v>
                </c:pt>
                <c:pt idx="3">
                  <c:v>3</c:v>
                </c:pt>
                <c:pt idx="4">
                  <c:v>4</c:v>
                </c:pt>
                <c:pt idx="5">
                  <c:v>5</c:v>
                </c:pt>
              </c:strCache>
            </c:strRef>
          </c:cat>
          <c:val>
            <c:numRef>
              <c:f>pivort!$B$99:$B$105</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3ABF-4835-A3EE-ECB2DDD3DD38}"/>
            </c:ext>
          </c:extLst>
        </c:ser>
        <c:dLbls>
          <c:showLegendKey val="0"/>
          <c:showVal val="0"/>
          <c:showCatName val="0"/>
          <c:showSerName val="0"/>
          <c:showPercent val="0"/>
          <c:showBubbleSize val="0"/>
        </c:dLbls>
        <c:gapWidth val="10"/>
        <c:overlap val="-27"/>
        <c:axId val="455182239"/>
        <c:axId val="455187039"/>
      </c:barChart>
      <c:catAx>
        <c:axId val="45518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187039"/>
        <c:crosses val="autoZero"/>
        <c:auto val="1"/>
        <c:lblAlgn val="ctr"/>
        <c:lblOffset val="100"/>
        <c:noMultiLvlLbl val="0"/>
      </c:catAx>
      <c:valAx>
        <c:axId val="455187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18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38100</xdr:rowOff>
    </xdr:from>
    <xdr:to>
      <xdr:col>4</xdr:col>
      <xdr:colOff>198120</xdr:colOff>
      <xdr:row>8</xdr:row>
      <xdr:rowOff>175260</xdr:rowOff>
    </xdr:to>
    <xdr:sp macro="" textlink="pivort!A4">
      <xdr:nvSpPr>
        <xdr:cNvPr id="2" name="Rectangle 1">
          <a:extLst>
            <a:ext uri="{FF2B5EF4-FFF2-40B4-BE49-F238E27FC236}">
              <a16:creationId xmlns:a16="http://schemas.microsoft.com/office/drawing/2014/main" id="{8467DE9D-BBF3-7B91-2E02-4552074D16E6}"/>
            </a:ext>
          </a:extLst>
        </xdr:cNvPr>
        <xdr:cNvSpPr/>
      </xdr:nvSpPr>
      <xdr:spPr>
        <a:xfrm>
          <a:off x="167640" y="769620"/>
          <a:ext cx="1562100" cy="86868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32BCC07-1220-4718-880E-78A8880C868A}" type="TxLink">
            <a:rPr lang="en-US" sz="2800" b="0" i="0" u="none" strike="noStrike">
              <a:ln>
                <a:noFill/>
              </a:ln>
              <a:solidFill>
                <a:schemeClr val="bg1"/>
              </a:solidFill>
              <a:latin typeface="+mj-lt"/>
            </a:rPr>
            <a:pPr algn="ctr"/>
            <a:t>1,000</a:t>
          </a:fld>
          <a:endParaRPr lang="en-IN" sz="2800">
            <a:ln>
              <a:noFill/>
            </a:ln>
            <a:solidFill>
              <a:schemeClr val="bg1"/>
            </a:solidFill>
            <a:latin typeface="+mj-lt"/>
          </a:endParaRPr>
        </a:p>
      </xdr:txBody>
    </xdr:sp>
    <xdr:clientData/>
  </xdr:twoCellAnchor>
  <xdr:twoCellAnchor>
    <xdr:from>
      <xdr:col>2</xdr:col>
      <xdr:colOff>137160</xdr:colOff>
      <xdr:row>4</xdr:row>
      <xdr:rowOff>38100</xdr:rowOff>
    </xdr:from>
    <xdr:to>
      <xdr:col>3</xdr:col>
      <xdr:colOff>190500</xdr:colOff>
      <xdr:row>5</xdr:row>
      <xdr:rowOff>152400</xdr:rowOff>
    </xdr:to>
    <xdr:sp macro="" textlink="">
      <xdr:nvSpPr>
        <xdr:cNvPr id="4" name="TextBox 3">
          <a:extLst>
            <a:ext uri="{FF2B5EF4-FFF2-40B4-BE49-F238E27FC236}">
              <a16:creationId xmlns:a16="http://schemas.microsoft.com/office/drawing/2014/main" id="{0D125EFD-E7C0-58A6-5DC0-734982B3BD22}"/>
            </a:ext>
          </a:extLst>
        </xdr:cNvPr>
        <xdr:cNvSpPr txBox="1"/>
      </xdr:nvSpPr>
      <xdr:spPr>
        <a:xfrm>
          <a:off x="464820" y="769620"/>
          <a:ext cx="655320" cy="29718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n>
                <a:solidFill>
                  <a:schemeClr val="lt1">
                    <a:shade val="50000"/>
                  </a:schemeClr>
                </a:solidFill>
              </a:ln>
              <a:solidFill>
                <a:schemeClr val="bg1"/>
              </a:solidFill>
              <a:latin typeface="+mj-lt"/>
            </a:rPr>
            <a:t>calls</a:t>
          </a:r>
        </a:p>
      </xdr:txBody>
    </xdr:sp>
    <xdr:clientData/>
  </xdr:twoCellAnchor>
  <xdr:twoCellAnchor editAs="oneCell">
    <xdr:from>
      <xdr:col>1</xdr:col>
      <xdr:colOff>93498</xdr:colOff>
      <xdr:row>4</xdr:row>
      <xdr:rowOff>57497</xdr:rowOff>
    </xdr:from>
    <xdr:to>
      <xdr:col>2</xdr:col>
      <xdr:colOff>101993</xdr:colOff>
      <xdr:row>5</xdr:row>
      <xdr:rowOff>69992</xdr:rowOff>
    </xdr:to>
    <xdr:pic>
      <xdr:nvPicPr>
        <xdr:cNvPr id="5" name="Graphic 4" descr="Receiver with solid fill">
          <a:extLst>
            <a:ext uri="{FF2B5EF4-FFF2-40B4-BE49-F238E27FC236}">
              <a16:creationId xmlns:a16="http://schemas.microsoft.com/office/drawing/2014/main" id="{54AAF240-24FA-486F-B237-4ECEB9DA10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5207059" flipH="1">
          <a:off x="247708" y="802447"/>
          <a:ext cx="195375" cy="168515"/>
        </a:xfrm>
        <a:prstGeom prst="rect">
          <a:avLst/>
        </a:prstGeom>
      </xdr:spPr>
    </xdr:pic>
    <xdr:clientData/>
  </xdr:twoCellAnchor>
  <xdr:twoCellAnchor>
    <xdr:from>
      <xdr:col>2</xdr:col>
      <xdr:colOff>121920</xdr:colOff>
      <xdr:row>7</xdr:row>
      <xdr:rowOff>129540</xdr:rowOff>
    </xdr:from>
    <xdr:to>
      <xdr:col>3</xdr:col>
      <xdr:colOff>381000</xdr:colOff>
      <xdr:row>8</xdr:row>
      <xdr:rowOff>167640</xdr:rowOff>
    </xdr:to>
    <xdr:sp macro="" textlink="pivort!B15">
      <xdr:nvSpPr>
        <xdr:cNvPr id="7" name="TextBox 6">
          <a:extLst>
            <a:ext uri="{FF2B5EF4-FFF2-40B4-BE49-F238E27FC236}">
              <a16:creationId xmlns:a16="http://schemas.microsoft.com/office/drawing/2014/main" id="{03C30401-310A-7518-7E88-60CDD2F592D3}"/>
            </a:ext>
          </a:extLst>
        </xdr:cNvPr>
        <xdr:cNvSpPr txBox="1"/>
      </xdr:nvSpPr>
      <xdr:spPr>
        <a:xfrm>
          <a:off x="449580" y="1409700"/>
          <a:ext cx="861060" cy="220980"/>
        </a:xfrm>
        <a:prstGeom prst="rect">
          <a:avLst/>
        </a:prstGeom>
        <a:solidFill>
          <a:schemeClr val="accent6"/>
        </a:solidFill>
        <a:ln w="9525" cmpd="sng">
          <a:solidFill>
            <a:schemeClr val="lt1">
              <a:shade val="50000"/>
              <a:alpha val="98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A7F7F1-E833-41B2-B3E2-072AA9A3339B}" type="TxLink">
            <a:rPr lang="en-US" sz="1100" b="0" i="0" u="none" strike="noStrike">
              <a:solidFill>
                <a:schemeClr val="bg1"/>
              </a:solidFill>
              <a:latin typeface="Aptos"/>
            </a:rPr>
            <a:pPr algn="ctr"/>
            <a:t>207</a:t>
          </a:fld>
          <a:endParaRPr lang="en-IN" sz="1100">
            <a:solidFill>
              <a:schemeClr val="bg1"/>
            </a:solidFill>
          </a:endParaRPr>
        </a:p>
      </xdr:txBody>
    </xdr:sp>
    <xdr:clientData/>
  </xdr:twoCellAnchor>
  <xdr:twoCellAnchor>
    <xdr:from>
      <xdr:col>1</xdr:col>
      <xdr:colOff>0</xdr:colOff>
      <xdr:row>11</xdr:row>
      <xdr:rowOff>7620</xdr:rowOff>
    </xdr:from>
    <xdr:to>
      <xdr:col>4</xdr:col>
      <xdr:colOff>213360</xdr:colOff>
      <xdr:row>15</xdr:row>
      <xdr:rowOff>144780</xdr:rowOff>
    </xdr:to>
    <xdr:sp macro="" textlink="pivort!B4">
      <xdr:nvSpPr>
        <xdr:cNvPr id="16" name="Rectangle 15">
          <a:extLst>
            <a:ext uri="{FF2B5EF4-FFF2-40B4-BE49-F238E27FC236}">
              <a16:creationId xmlns:a16="http://schemas.microsoft.com/office/drawing/2014/main" id="{EB99EF5E-23A7-4757-8C29-E971874D1FCC}"/>
            </a:ext>
          </a:extLst>
        </xdr:cNvPr>
        <xdr:cNvSpPr/>
      </xdr:nvSpPr>
      <xdr:spPr>
        <a:xfrm>
          <a:off x="167640" y="2019300"/>
          <a:ext cx="1577340" cy="86868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AF4256D-B7B5-4CCA-971E-6704266AE7B0}" type="TxLink">
            <a:rPr lang="en-US" sz="2800" b="0" i="0" u="none" strike="noStrike">
              <a:solidFill>
                <a:schemeClr val="bg1"/>
              </a:solidFill>
              <a:latin typeface="+mj-lt"/>
              <a:ea typeface="+mn-ea"/>
              <a:cs typeface="+mn-cs"/>
            </a:rPr>
            <a:pPr marL="0" indent="0" algn="ctr"/>
            <a:t>€ 96,623</a:t>
          </a:fld>
          <a:endParaRPr lang="en-IN" sz="2800" b="0" i="0" u="none" strike="noStrike">
            <a:solidFill>
              <a:schemeClr val="bg1"/>
            </a:solidFill>
            <a:latin typeface="+mj-lt"/>
            <a:ea typeface="+mn-ea"/>
            <a:cs typeface="+mn-cs"/>
          </a:endParaRPr>
        </a:p>
      </xdr:txBody>
    </xdr:sp>
    <xdr:clientData/>
  </xdr:twoCellAnchor>
  <xdr:twoCellAnchor>
    <xdr:from>
      <xdr:col>2</xdr:col>
      <xdr:colOff>342900</xdr:colOff>
      <xdr:row>11</xdr:row>
      <xdr:rowOff>7620</xdr:rowOff>
    </xdr:from>
    <xdr:to>
      <xdr:col>3</xdr:col>
      <xdr:colOff>342900</xdr:colOff>
      <xdr:row>12</xdr:row>
      <xdr:rowOff>137160</xdr:rowOff>
    </xdr:to>
    <xdr:sp macro="" textlink="">
      <xdr:nvSpPr>
        <xdr:cNvPr id="17" name="TextBox 16">
          <a:extLst>
            <a:ext uri="{FF2B5EF4-FFF2-40B4-BE49-F238E27FC236}">
              <a16:creationId xmlns:a16="http://schemas.microsoft.com/office/drawing/2014/main" id="{1149B599-640C-41DD-BD5F-C14EC30F9F85}"/>
            </a:ext>
          </a:extLst>
        </xdr:cNvPr>
        <xdr:cNvSpPr txBox="1"/>
      </xdr:nvSpPr>
      <xdr:spPr>
        <a:xfrm>
          <a:off x="708660" y="2019300"/>
          <a:ext cx="670560" cy="31242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chemeClr val="bg1"/>
              </a:solidFill>
              <a:latin typeface="+mj-lt"/>
            </a:rPr>
            <a:t>amount</a:t>
          </a:r>
        </a:p>
      </xdr:txBody>
    </xdr:sp>
    <xdr:clientData/>
  </xdr:twoCellAnchor>
  <xdr:twoCellAnchor editAs="oneCell">
    <xdr:from>
      <xdr:col>1</xdr:col>
      <xdr:colOff>111689</xdr:colOff>
      <xdr:row>11</xdr:row>
      <xdr:rowOff>45165</xdr:rowOff>
    </xdr:from>
    <xdr:to>
      <xdr:col>2</xdr:col>
      <xdr:colOff>213165</xdr:colOff>
      <xdr:row>12</xdr:row>
      <xdr:rowOff>123781</xdr:rowOff>
    </xdr:to>
    <xdr:pic>
      <xdr:nvPicPr>
        <xdr:cNvPr id="18" name="Graphic 17">
          <a:extLst>
            <a:ext uri="{FF2B5EF4-FFF2-40B4-BE49-F238E27FC236}">
              <a16:creationId xmlns:a16="http://schemas.microsoft.com/office/drawing/2014/main" id="{EF2F1176-5C9B-48BF-82BC-91C8ECA319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flipH="1">
          <a:off x="279329" y="2056845"/>
          <a:ext cx="261496" cy="261496"/>
        </a:xfrm>
        <a:prstGeom prst="rect">
          <a:avLst/>
        </a:prstGeom>
      </xdr:spPr>
    </xdr:pic>
    <xdr:clientData/>
  </xdr:twoCellAnchor>
  <xdr:twoCellAnchor>
    <xdr:from>
      <xdr:col>2</xdr:col>
      <xdr:colOff>137160</xdr:colOff>
      <xdr:row>14</xdr:row>
      <xdr:rowOff>99060</xdr:rowOff>
    </xdr:from>
    <xdr:to>
      <xdr:col>3</xdr:col>
      <xdr:colOff>396240</xdr:colOff>
      <xdr:row>15</xdr:row>
      <xdr:rowOff>137160</xdr:rowOff>
    </xdr:to>
    <xdr:sp macro="" textlink="pivort!C15">
      <xdr:nvSpPr>
        <xdr:cNvPr id="19" name="TextBox 18">
          <a:extLst>
            <a:ext uri="{FF2B5EF4-FFF2-40B4-BE49-F238E27FC236}">
              <a16:creationId xmlns:a16="http://schemas.microsoft.com/office/drawing/2014/main" id="{EC0FED12-624A-49B8-A0E7-C7180EB70B32}"/>
            </a:ext>
          </a:extLst>
        </xdr:cNvPr>
        <xdr:cNvSpPr txBox="1"/>
      </xdr:nvSpPr>
      <xdr:spPr>
        <a:xfrm>
          <a:off x="502920" y="2659380"/>
          <a:ext cx="929640" cy="22098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1A53C4-9D30-484F-85FA-55EA4F24EF2C}" type="TxLink">
            <a:rPr lang="en-US" sz="1100" b="0" i="0" u="none" strike="noStrike">
              <a:solidFill>
                <a:schemeClr val="bg1"/>
              </a:solidFill>
              <a:latin typeface="Aptos"/>
            </a:rPr>
            <a:pPr algn="ctr"/>
            <a:t>€ 20,872</a:t>
          </a:fld>
          <a:endParaRPr lang="en-IN" sz="1100">
            <a:solidFill>
              <a:schemeClr val="bg1"/>
            </a:solidFill>
          </a:endParaRPr>
        </a:p>
      </xdr:txBody>
    </xdr:sp>
    <xdr:clientData/>
  </xdr:twoCellAnchor>
  <xdr:twoCellAnchor>
    <xdr:from>
      <xdr:col>1</xdr:col>
      <xdr:colOff>0</xdr:colOff>
      <xdr:row>19</xdr:row>
      <xdr:rowOff>0</xdr:rowOff>
    </xdr:from>
    <xdr:to>
      <xdr:col>4</xdr:col>
      <xdr:colOff>228600</xdr:colOff>
      <xdr:row>23</xdr:row>
      <xdr:rowOff>137160</xdr:rowOff>
    </xdr:to>
    <xdr:sp macro="" textlink="pivort!C4">
      <xdr:nvSpPr>
        <xdr:cNvPr id="20" name="Rectangle 19">
          <a:extLst>
            <a:ext uri="{FF2B5EF4-FFF2-40B4-BE49-F238E27FC236}">
              <a16:creationId xmlns:a16="http://schemas.microsoft.com/office/drawing/2014/main" id="{448C7C85-9C76-4FA6-8F56-5944E2567BD0}"/>
            </a:ext>
          </a:extLst>
        </xdr:cNvPr>
        <xdr:cNvSpPr/>
      </xdr:nvSpPr>
      <xdr:spPr>
        <a:xfrm>
          <a:off x="167640" y="3474720"/>
          <a:ext cx="1592580" cy="86868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9B2531C-B1C3-4F5A-9D22-219D1027190D}" type="TxLink">
            <a:rPr lang="en-US" sz="2800" b="0" i="0" u="none" strike="noStrike">
              <a:solidFill>
                <a:schemeClr val="bg1"/>
              </a:solidFill>
              <a:latin typeface="+mj-lt"/>
              <a:ea typeface="+mn-ea"/>
              <a:cs typeface="+mn-cs"/>
            </a:rPr>
            <a:pPr marL="0" indent="0" algn="ctr"/>
            <a:t>89,850</a:t>
          </a:fld>
          <a:endParaRPr lang="en-IN" sz="2800" b="0" i="0" u="none" strike="noStrike">
            <a:solidFill>
              <a:schemeClr val="bg1"/>
            </a:solidFill>
            <a:latin typeface="+mj-lt"/>
            <a:ea typeface="+mn-ea"/>
            <a:cs typeface="+mn-cs"/>
          </a:endParaRPr>
        </a:p>
      </xdr:txBody>
    </xdr:sp>
    <xdr:clientData/>
  </xdr:twoCellAnchor>
  <xdr:twoCellAnchor>
    <xdr:from>
      <xdr:col>2</xdr:col>
      <xdr:colOff>342900</xdr:colOff>
      <xdr:row>19</xdr:row>
      <xdr:rowOff>0</xdr:rowOff>
    </xdr:from>
    <xdr:to>
      <xdr:col>3</xdr:col>
      <xdr:colOff>342900</xdr:colOff>
      <xdr:row>20</xdr:row>
      <xdr:rowOff>129540</xdr:rowOff>
    </xdr:to>
    <xdr:sp macro="" textlink="">
      <xdr:nvSpPr>
        <xdr:cNvPr id="21" name="TextBox 20">
          <a:extLst>
            <a:ext uri="{FF2B5EF4-FFF2-40B4-BE49-F238E27FC236}">
              <a16:creationId xmlns:a16="http://schemas.microsoft.com/office/drawing/2014/main" id="{E32DF858-A5E2-4C13-9A44-DB12FCEB6D7A}"/>
            </a:ext>
          </a:extLst>
        </xdr:cNvPr>
        <xdr:cNvSpPr txBox="1"/>
      </xdr:nvSpPr>
      <xdr:spPr>
        <a:xfrm>
          <a:off x="708660" y="3474720"/>
          <a:ext cx="670560" cy="31242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solidFill>
              <a:latin typeface="+mj-lt"/>
            </a:rPr>
            <a:t>Duration</a:t>
          </a:r>
        </a:p>
      </xdr:txBody>
    </xdr:sp>
    <xdr:clientData/>
  </xdr:twoCellAnchor>
  <xdr:twoCellAnchor editAs="oneCell">
    <xdr:from>
      <xdr:col>1</xdr:col>
      <xdr:colOff>111689</xdr:colOff>
      <xdr:row>19</xdr:row>
      <xdr:rowOff>37545</xdr:rowOff>
    </xdr:from>
    <xdr:to>
      <xdr:col>2</xdr:col>
      <xdr:colOff>213165</xdr:colOff>
      <xdr:row>20</xdr:row>
      <xdr:rowOff>116161</xdr:rowOff>
    </xdr:to>
    <xdr:pic>
      <xdr:nvPicPr>
        <xdr:cNvPr id="22" name="Graphic 21">
          <a:extLst>
            <a:ext uri="{FF2B5EF4-FFF2-40B4-BE49-F238E27FC236}">
              <a16:creationId xmlns:a16="http://schemas.microsoft.com/office/drawing/2014/main" id="{AE933FAC-0899-47DF-860F-BF93143C31F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rot="21366040" flipH="1">
          <a:off x="279329" y="3512265"/>
          <a:ext cx="261496" cy="261496"/>
        </a:xfrm>
        <a:prstGeom prst="rect">
          <a:avLst/>
        </a:prstGeom>
      </xdr:spPr>
    </xdr:pic>
    <xdr:clientData/>
  </xdr:twoCellAnchor>
  <xdr:twoCellAnchor>
    <xdr:from>
      <xdr:col>2</xdr:col>
      <xdr:colOff>137160</xdr:colOff>
      <xdr:row>22</xdr:row>
      <xdr:rowOff>91440</xdr:rowOff>
    </xdr:from>
    <xdr:to>
      <xdr:col>3</xdr:col>
      <xdr:colOff>396240</xdr:colOff>
      <xdr:row>23</xdr:row>
      <xdr:rowOff>129540</xdr:rowOff>
    </xdr:to>
    <xdr:sp macro="" textlink="pivort!D15">
      <xdr:nvSpPr>
        <xdr:cNvPr id="23" name="TextBox 22">
          <a:extLst>
            <a:ext uri="{FF2B5EF4-FFF2-40B4-BE49-F238E27FC236}">
              <a16:creationId xmlns:a16="http://schemas.microsoft.com/office/drawing/2014/main" id="{15D26F69-BD99-4540-9C27-9EB723EC94A1}"/>
            </a:ext>
          </a:extLst>
        </xdr:cNvPr>
        <xdr:cNvSpPr txBox="1"/>
      </xdr:nvSpPr>
      <xdr:spPr>
        <a:xfrm>
          <a:off x="502920" y="4114800"/>
          <a:ext cx="929640" cy="22098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A351C9-65ED-4B31-A5E9-EA9D674F3D19}" type="TxLink">
            <a:rPr lang="en-US" sz="1100" b="0" i="0" u="none" strike="noStrike">
              <a:solidFill>
                <a:schemeClr val="bg1"/>
              </a:solidFill>
              <a:latin typeface="Aptos"/>
            </a:rPr>
            <a:pPr algn="ctr"/>
            <a:t>17,700</a:t>
          </a:fld>
          <a:endParaRPr lang="en-IN" sz="1100">
            <a:solidFill>
              <a:schemeClr val="bg1"/>
            </a:solidFill>
          </a:endParaRPr>
        </a:p>
      </xdr:txBody>
    </xdr:sp>
    <xdr:clientData/>
  </xdr:twoCellAnchor>
  <xdr:twoCellAnchor>
    <xdr:from>
      <xdr:col>1</xdr:col>
      <xdr:colOff>0</xdr:colOff>
      <xdr:row>27</xdr:row>
      <xdr:rowOff>0</xdr:rowOff>
    </xdr:from>
    <xdr:to>
      <xdr:col>4</xdr:col>
      <xdr:colOff>228600</xdr:colOff>
      <xdr:row>31</xdr:row>
      <xdr:rowOff>137160</xdr:rowOff>
    </xdr:to>
    <xdr:sp macro="" textlink="pivort!D4">
      <xdr:nvSpPr>
        <xdr:cNvPr id="24" name="Rectangle 23">
          <a:extLst>
            <a:ext uri="{FF2B5EF4-FFF2-40B4-BE49-F238E27FC236}">
              <a16:creationId xmlns:a16="http://schemas.microsoft.com/office/drawing/2014/main" id="{3C7B863F-F623-4580-906C-1936BD880596}"/>
            </a:ext>
          </a:extLst>
        </xdr:cNvPr>
        <xdr:cNvSpPr/>
      </xdr:nvSpPr>
      <xdr:spPr>
        <a:xfrm>
          <a:off x="167640" y="4937760"/>
          <a:ext cx="1592580" cy="86868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D3C68C4-1C6F-46C5-BC76-38977F0FCC78}" type="TxLink">
            <a:rPr lang="en-US" sz="2800" b="0" i="0" u="none" strike="noStrike">
              <a:solidFill>
                <a:schemeClr val="bg1"/>
              </a:solidFill>
              <a:latin typeface="+mj-lt"/>
              <a:ea typeface="+mn-ea"/>
              <a:cs typeface="+mn-cs"/>
            </a:rPr>
            <a:pPr marL="0" indent="0" algn="ctr"/>
            <a:t>3.9</a:t>
          </a:fld>
          <a:endParaRPr lang="en-IN" sz="2800" b="0" i="0" u="none" strike="noStrike">
            <a:solidFill>
              <a:schemeClr val="bg1"/>
            </a:solidFill>
            <a:latin typeface="+mj-lt"/>
            <a:ea typeface="+mn-ea"/>
            <a:cs typeface="+mn-cs"/>
          </a:endParaRPr>
        </a:p>
      </xdr:txBody>
    </xdr:sp>
    <xdr:clientData/>
  </xdr:twoCellAnchor>
  <xdr:twoCellAnchor>
    <xdr:from>
      <xdr:col>2</xdr:col>
      <xdr:colOff>342900</xdr:colOff>
      <xdr:row>27</xdr:row>
      <xdr:rowOff>0</xdr:rowOff>
    </xdr:from>
    <xdr:to>
      <xdr:col>3</xdr:col>
      <xdr:colOff>342900</xdr:colOff>
      <xdr:row>28</xdr:row>
      <xdr:rowOff>129540</xdr:rowOff>
    </xdr:to>
    <xdr:sp macro="" textlink="">
      <xdr:nvSpPr>
        <xdr:cNvPr id="25" name="TextBox 24">
          <a:extLst>
            <a:ext uri="{FF2B5EF4-FFF2-40B4-BE49-F238E27FC236}">
              <a16:creationId xmlns:a16="http://schemas.microsoft.com/office/drawing/2014/main" id="{6AA5DADE-2034-43FF-A26F-359938106AB1}"/>
            </a:ext>
          </a:extLst>
        </xdr:cNvPr>
        <xdr:cNvSpPr txBox="1"/>
      </xdr:nvSpPr>
      <xdr:spPr>
        <a:xfrm>
          <a:off x="708660" y="4937760"/>
          <a:ext cx="670560" cy="31242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solidFill>
              <a:latin typeface="+mj-lt"/>
            </a:rPr>
            <a:t>avg.ratin</a:t>
          </a:r>
        </a:p>
      </xdr:txBody>
    </xdr:sp>
    <xdr:clientData/>
  </xdr:twoCellAnchor>
  <xdr:twoCellAnchor editAs="oneCell">
    <xdr:from>
      <xdr:col>1</xdr:col>
      <xdr:colOff>111689</xdr:colOff>
      <xdr:row>27</xdr:row>
      <xdr:rowOff>37545</xdr:rowOff>
    </xdr:from>
    <xdr:to>
      <xdr:col>2</xdr:col>
      <xdr:colOff>213165</xdr:colOff>
      <xdr:row>28</xdr:row>
      <xdr:rowOff>116161</xdr:rowOff>
    </xdr:to>
    <xdr:pic>
      <xdr:nvPicPr>
        <xdr:cNvPr id="26" name="Graphic 25">
          <a:extLst>
            <a:ext uri="{FF2B5EF4-FFF2-40B4-BE49-F238E27FC236}">
              <a16:creationId xmlns:a16="http://schemas.microsoft.com/office/drawing/2014/main" id="{0BF81D88-AA5C-4F1C-A730-72C61A97D44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rot="10800000" flipH="1">
          <a:off x="279329" y="4975305"/>
          <a:ext cx="261496" cy="261496"/>
        </a:xfrm>
        <a:prstGeom prst="rect">
          <a:avLst/>
        </a:prstGeom>
      </xdr:spPr>
    </xdr:pic>
    <xdr:clientData/>
  </xdr:twoCellAnchor>
  <xdr:twoCellAnchor>
    <xdr:from>
      <xdr:col>2</xdr:col>
      <xdr:colOff>137160</xdr:colOff>
      <xdr:row>30</xdr:row>
      <xdr:rowOff>91440</xdr:rowOff>
    </xdr:from>
    <xdr:to>
      <xdr:col>3</xdr:col>
      <xdr:colOff>396240</xdr:colOff>
      <xdr:row>31</xdr:row>
      <xdr:rowOff>129540</xdr:rowOff>
    </xdr:to>
    <xdr:sp macro="" textlink="pivort!E15">
      <xdr:nvSpPr>
        <xdr:cNvPr id="27" name="TextBox 26">
          <a:extLst>
            <a:ext uri="{FF2B5EF4-FFF2-40B4-BE49-F238E27FC236}">
              <a16:creationId xmlns:a16="http://schemas.microsoft.com/office/drawing/2014/main" id="{29B799B3-193A-4766-87B6-707FCBD7A9F0}"/>
            </a:ext>
          </a:extLst>
        </xdr:cNvPr>
        <xdr:cNvSpPr txBox="1"/>
      </xdr:nvSpPr>
      <xdr:spPr>
        <a:xfrm>
          <a:off x="502920" y="5577840"/>
          <a:ext cx="929640" cy="22098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9DB51B-83AE-4E0D-A9DF-F82A4A3B0B9F}" type="TxLink">
            <a:rPr lang="en-US" sz="1100" b="0" i="0" u="none" strike="noStrike">
              <a:solidFill>
                <a:schemeClr val="bg1"/>
              </a:solidFill>
              <a:latin typeface="Aptos"/>
            </a:rPr>
            <a:pPr algn="ctr"/>
            <a:t>3.9</a:t>
          </a:fld>
          <a:endParaRPr lang="en-IN" sz="1100">
            <a:solidFill>
              <a:schemeClr val="bg1"/>
            </a:solidFill>
          </a:endParaRPr>
        </a:p>
      </xdr:txBody>
    </xdr:sp>
    <xdr:clientData/>
  </xdr:twoCellAnchor>
  <xdr:twoCellAnchor>
    <xdr:from>
      <xdr:col>1</xdr:col>
      <xdr:colOff>22860</xdr:colOff>
      <xdr:row>35</xdr:row>
      <xdr:rowOff>38100</xdr:rowOff>
    </xdr:from>
    <xdr:to>
      <xdr:col>4</xdr:col>
      <xdr:colOff>274320</xdr:colOff>
      <xdr:row>39</xdr:row>
      <xdr:rowOff>175260</xdr:rowOff>
    </xdr:to>
    <xdr:sp macro="" textlink="pivort!E4">
      <xdr:nvSpPr>
        <xdr:cNvPr id="6" name="Rectangle 5">
          <a:extLst>
            <a:ext uri="{FF2B5EF4-FFF2-40B4-BE49-F238E27FC236}">
              <a16:creationId xmlns:a16="http://schemas.microsoft.com/office/drawing/2014/main" id="{CD06EC48-9987-43DA-9693-869D0D240058}"/>
            </a:ext>
          </a:extLst>
        </xdr:cNvPr>
        <xdr:cNvSpPr/>
      </xdr:nvSpPr>
      <xdr:spPr>
        <a:xfrm>
          <a:off x="190500" y="6438900"/>
          <a:ext cx="1615440" cy="86868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58667E1-5D86-49BA-AE23-0A49E00142C9}" type="TxLink">
            <a:rPr lang="en-US" sz="2800" b="0" i="0" u="none" strike="noStrike">
              <a:solidFill>
                <a:schemeClr val="bg1"/>
              </a:solidFill>
              <a:latin typeface="+mj-lt"/>
              <a:ea typeface="+mn-ea"/>
              <a:cs typeface="+mn-cs"/>
            </a:rPr>
            <a:pPr marL="0" indent="0" algn="ctr"/>
            <a:t>307</a:t>
          </a:fld>
          <a:endParaRPr lang="en-IN" sz="2800" b="0" i="0" u="none" strike="noStrike">
            <a:solidFill>
              <a:schemeClr val="bg1"/>
            </a:solidFill>
            <a:latin typeface="+mj-lt"/>
            <a:ea typeface="+mn-ea"/>
            <a:cs typeface="+mn-cs"/>
          </a:endParaRPr>
        </a:p>
      </xdr:txBody>
    </xdr:sp>
    <xdr:clientData/>
  </xdr:twoCellAnchor>
  <xdr:twoCellAnchor>
    <xdr:from>
      <xdr:col>2</xdr:col>
      <xdr:colOff>342900</xdr:colOff>
      <xdr:row>35</xdr:row>
      <xdr:rowOff>38100</xdr:rowOff>
    </xdr:from>
    <xdr:to>
      <xdr:col>3</xdr:col>
      <xdr:colOff>434340</xdr:colOff>
      <xdr:row>36</xdr:row>
      <xdr:rowOff>167640</xdr:rowOff>
    </xdr:to>
    <xdr:sp macro="" textlink="">
      <xdr:nvSpPr>
        <xdr:cNvPr id="8" name="TextBox 7">
          <a:extLst>
            <a:ext uri="{FF2B5EF4-FFF2-40B4-BE49-F238E27FC236}">
              <a16:creationId xmlns:a16="http://schemas.microsoft.com/office/drawing/2014/main" id="{8E109F4D-09C5-4A6F-A9F6-32E64AC9BD52}"/>
            </a:ext>
          </a:extLst>
        </xdr:cNvPr>
        <xdr:cNvSpPr txBox="1"/>
      </xdr:nvSpPr>
      <xdr:spPr>
        <a:xfrm>
          <a:off x="670560" y="6438900"/>
          <a:ext cx="693420" cy="31242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solidFill>
              <a:latin typeface="+mj-lt"/>
            </a:rPr>
            <a:t>happy call </a:t>
          </a:r>
        </a:p>
      </xdr:txBody>
    </xdr:sp>
    <xdr:clientData/>
  </xdr:twoCellAnchor>
  <xdr:oneCellAnchor>
    <xdr:from>
      <xdr:col>1</xdr:col>
      <xdr:colOff>113319</xdr:colOff>
      <xdr:row>35</xdr:row>
      <xdr:rowOff>122314</xdr:rowOff>
    </xdr:from>
    <xdr:ext cx="244240" cy="244240"/>
    <xdr:pic>
      <xdr:nvPicPr>
        <xdr:cNvPr id="9" name="Graphic 8">
          <a:extLst>
            <a:ext uri="{FF2B5EF4-FFF2-40B4-BE49-F238E27FC236}">
              <a16:creationId xmlns:a16="http://schemas.microsoft.com/office/drawing/2014/main" id="{3D837AE8-1344-407A-AA53-965568AC6B8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rot="21446880" flipH="1">
          <a:off x="280959" y="6523114"/>
          <a:ext cx="244240" cy="244240"/>
        </a:xfrm>
        <a:prstGeom prst="rect">
          <a:avLst/>
        </a:prstGeom>
      </xdr:spPr>
    </xdr:pic>
    <xdr:clientData/>
  </xdr:oneCellAnchor>
  <xdr:twoCellAnchor>
    <xdr:from>
      <xdr:col>2</xdr:col>
      <xdr:colOff>327660</xdr:colOff>
      <xdr:row>38</xdr:row>
      <xdr:rowOff>106680</xdr:rowOff>
    </xdr:from>
    <xdr:to>
      <xdr:col>3</xdr:col>
      <xdr:colOff>586740</xdr:colOff>
      <xdr:row>39</xdr:row>
      <xdr:rowOff>144780</xdr:rowOff>
    </xdr:to>
    <xdr:sp macro="" textlink="pivort!F15">
      <xdr:nvSpPr>
        <xdr:cNvPr id="10" name="TextBox 9">
          <a:extLst>
            <a:ext uri="{FF2B5EF4-FFF2-40B4-BE49-F238E27FC236}">
              <a16:creationId xmlns:a16="http://schemas.microsoft.com/office/drawing/2014/main" id="{E2127AF9-121F-43F4-928E-00AB175B6CF5}"/>
            </a:ext>
          </a:extLst>
        </xdr:cNvPr>
        <xdr:cNvSpPr txBox="1"/>
      </xdr:nvSpPr>
      <xdr:spPr>
        <a:xfrm>
          <a:off x="655320" y="7056120"/>
          <a:ext cx="861060" cy="22098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07A15-E64A-4733-841C-059682ACFBE6}" type="TxLink">
            <a:rPr lang="en-US" sz="1100" b="0" i="0" u="none" strike="noStrike">
              <a:solidFill>
                <a:schemeClr val="bg1"/>
              </a:solidFill>
              <a:latin typeface="Aptos"/>
            </a:rPr>
            <a:pPr algn="ctr"/>
            <a:t>60</a:t>
          </a:fld>
          <a:endParaRPr lang="en-IN" sz="1100">
            <a:solidFill>
              <a:schemeClr val="bg1"/>
            </a:solidFill>
          </a:endParaRPr>
        </a:p>
      </xdr:txBody>
    </xdr:sp>
    <xdr:clientData/>
  </xdr:twoCellAnchor>
  <xdr:twoCellAnchor editAs="oneCell">
    <xdr:from>
      <xdr:col>13</xdr:col>
      <xdr:colOff>61783</xdr:colOff>
      <xdr:row>20</xdr:row>
      <xdr:rowOff>175055</xdr:rowOff>
    </xdr:from>
    <xdr:to>
      <xdr:col>15</xdr:col>
      <xdr:colOff>515707</xdr:colOff>
      <xdr:row>30</xdr:row>
      <xdr:rowOff>134484</xdr:rowOff>
    </xdr:to>
    <mc:AlternateContent xmlns:mc="http://schemas.openxmlformats.org/markup-compatibility/2006" xmlns:a14="http://schemas.microsoft.com/office/drawing/2010/main">
      <mc:Choice Requires="a14">
        <xdr:graphicFrame macro="">
          <xdr:nvGraphicFramePr>
            <xdr:cNvPr id="11" name="Representative">
              <a:extLst>
                <a:ext uri="{FF2B5EF4-FFF2-40B4-BE49-F238E27FC236}">
                  <a16:creationId xmlns:a16="http://schemas.microsoft.com/office/drawing/2014/main" id="{775636E7-A141-4A8F-AF6E-AABBF4BBC89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559378" y="3882082"/>
              <a:ext cx="1648410" cy="1812943"/>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205948</xdr:colOff>
      <xdr:row>3</xdr:row>
      <xdr:rowOff>92676</xdr:rowOff>
    </xdr:from>
    <xdr:to>
      <xdr:col>17</xdr:col>
      <xdr:colOff>453083</xdr:colOff>
      <xdr:row>15</xdr:row>
      <xdr:rowOff>113272</xdr:rowOff>
    </xdr:to>
    <xdr:graphicFrame macro="">
      <xdr:nvGraphicFramePr>
        <xdr:cNvPr id="13" name="Chart 12">
          <a:extLst>
            <a:ext uri="{FF2B5EF4-FFF2-40B4-BE49-F238E27FC236}">
              <a16:creationId xmlns:a16="http://schemas.microsoft.com/office/drawing/2014/main" id="{09950966-F127-4F1C-89A4-0944C27A2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30892</xdr:colOff>
      <xdr:row>3</xdr:row>
      <xdr:rowOff>123568</xdr:rowOff>
    </xdr:from>
    <xdr:to>
      <xdr:col>13</xdr:col>
      <xdr:colOff>226540</xdr:colOff>
      <xdr:row>18</xdr:row>
      <xdr:rowOff>86498</xdr:rowOff>
    </xdr:to>
    <xdr:graphicFrame macro="">
      <xdr:nvGraphicFramePr>
        <xdr:cNvPr id="12" name="Chart 11">
          <a:extLst>
            <a:ext uri="{FF2B5EF4-FFF2-40B4-BE49-F238E27FC236}">
              <a16:creationId xmlns:a16="http://schemas.microsoft.com/office/drawing/2014/main" id="{969A8395-9DDC-4C39-80EC-E124F2FF0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113269</xdr:colOff>
      <xdr:row>19</xdr:row>
      <xdr:rowOff>175055</xdr:rowOff>
    </xdr:from>
    <xdr:to>
      <xdr:col>13</xdr:col>
      <xdr:colOff>123566</xdr:colOff>
      <xdr:row>35</xdr:row>
      <xdr:rowOff>102974</xdr:rowOff>
    </xdr:to>
    <xdr:sp macro="" textlink="">
      <xdr:nvSpPr>
        <xdr:cNvPr id="28" name="Rectangle 27">
          <a:extLst>
            <a:ext uri="{FF2B5EF4-FFF2-40B4-BE49-F238E27FC236}">
              <a16:creationId xmlns:a16="http://schemas.microsoft.com/office/drawing/2014/main" id="{DA60DF31-786C-E11F-D567-9155FF15AC04}"/>
            </a:ext>
          </a:extLst>
        </xdr:cNvPr>
        <xdr:cNvSpPr/>
      </xdr:nvSpPr>
      <xdr:spPr>
        <a:xfrm>
          <a:off x="2234512" y="3696731"/>
          <a:ext cx="4386649" cy="2893540"/>
        </a:xfrm>
        <a:prstGeom prst="rect">
          <a:avLst/>
        </a:prstGeom>
        <a:solidFill>
          <a:schemeClr val="bg1"/>
        </a:solidFill>
        <a:ln>
          <a:solidFill>
            <a:schemeClr val="bg1">
              <a:lumMod val="65000"/>
            </a:schemeClr>
          </a:solid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clientData/>
  </xdr:twoCellAnchor>
  <xdr:twoCellAnchor>
    <xdr:from>
      <xdr:col>8</xdr:col>
      <xdr:colOff>247135</xdr:colOff>
      <xdr:row>20</xdr:row>
      <xdr:rowOff>41189</xdr:rowOff>
    </xdr:from>
    <xdr:to>
      <xdr:col>13</xdr:col>
      <xdr:colOff>36505</xdr:colOff>
      <xdr:row>34</xdr:row>
      <xdr:rowOff>154460</xdr:rowOff>
    </xdr:to>
    <xdr:graphicFrame macro="">
      <xdr:nvGraphicFramePr>
        <xdr:cNvPr id="14" name="Chart 13">
          <a:extLst>
            <a:ext uri="{FF2B5EF4-FFF2-40B4-BE49-F238E27FC236}">
              <a16:creationId xmlns:a16="http://schemas.microsoft.com/office/drawing/2014/main" id="{C2044B9A-80FA-4C8A-AC90-ABA31332C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185351</xdr:colOff>
      <xdr:row>20</xdr:row>
      <xdr:rowOff>20594</xdr:rowOff>
    </xdr:from>
    <xdr:to>
      <xdr:col>10</xdr:col>
      <xdr:colOff>451818</xdr:colOff>
      <xdr:row>35</xdr:row>
      <xdr:rowOff>8384</xdr:rowOff>
    </xdr:to>
    <xdr:graphicFrame macro="">
      <xdr:nvGraphicFramePr>
        <xdr:cNvPr id="15" name="Chart 14">
          <a:extLst>
            <a:ext uri="{FF2B5EF4-FFF2-40B4-BE49-F238E27FC236}">
              <a16:creationId xmlns:a16="http://schemas.microsoft.com/office/drawing/2014/main" id="{F379DA9F-4691-4B2A-99DA-1529040A5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556054</xdr:colOff>
      <xdr:row>3</xdr:row>
      <xdr:rowOff>20595</xdr:rowOff>
    </xdr:from>
    <xdr:to>
      <xdr:col>21</xdr:col>
      <xdr:colOff>308918</xdr:colOff>
      <xdr:row>17</xdr:row>
      <xdr:rowOff>168876</xdr:rowOff>
    </xdr:to>
    <xdr:graphicFrame macro="">
      <xdr:nvGraphicFramePr>
        <xdr:cNvPr id="29" name="Chart 28">
          <a:extLst>
            <a:ext uri="{FF2B5EF4-FFF2-40B4-BE49-F238E27FC236}">
              <a16:creationId xmlns:a16="http://schemas.microsoft.com/office/drawing/2014/main" id="{7D6755EC-5B91-4F69-9573-0213415C8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0</xdr:colOff>
      <xdr:row>3</xdr:row>
      <xdr:rowOff>0</xdr:rowOff>
    </xdr:from>
    <xdr:to>
      <xdr:col>25</xdr:col>
      <xdr:colOff>504567</xdr:colOff>
      <xdr:row>17</xdr:row>
      <xdr:rowOff>148281</xdr:rowOff>
    </xdr:to>
    <xdr:graphicFrame macro="">
      <xdr:nvGraphicFramePr>
        <xdr:cNvPr id="31" name="Chart 30">
          <a:extLst>
            <a:ext uri="{FF2B5EF4-FFF2-40B4-BE49-F238E27FC236}">
              <a16:creationId xmlns:a16="http://schemas.microsoft.com/office/drawing/2014/main" id="{FC651090-32D1-45AC-8921-BF5676518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6</xdr:col>
      <xdr:colOff>158902</xdr:colOff>
      <xdr:row>2</xdr:row>
      <xdr:rowOff>28222</xdr:rowOff>
    </xdr:from>
    <xdr:to>
      <xdr:col>6</xdr:col>
      <xdr:colOff>409223</xdr:colOff>
      <xdr:row>3</xdr:row>
      <xdr:rowOff>14877</xdr:rowOff>
    </xdr:to>
    <xdr:pic>
      <xdr:nvPicPr>
        <xdr:cNvPr id="11" name="Picture 10" descr="Businessman using phone">
          <a:extLst>
            <a:ext uri="{FF2B5EF4-FFF2-40B4-BE49-F238E27FC236}">
              <a16:creationId xmlns:a16="http://schemas.microsoft.com/office/drawing/2014/main" id="{1ADE541C-5A82-8519-1C8F-B82AC2B9B444}"/>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0703" t="-1032" r="37828" b="82467"/>
        <a:stretch>
          <a:fillRect/>
        </a:stretch>
      </xdr:blipFill>
      <xdr:spPr>
        <a:xfrm>
          <a:off x="4011235" y="395111"/>
          <a:ext cx="250321" cy="311210"/>
        </a:xfrm>
        <a:prstGeom prst="ellipse">
          <a:avLst/>
        </a:prstGeom>
        <a:ln>
          <a:noFill/>
        </a:ln>
        <a:effectLst>
          <a:outerShdw blurRad="292100" dist="139700" dir="2700000" algn="tl" rotWithShape="0">
            <a:srgbClr val="333333">
              <a:alpha val="65000"/>
            </a:srgb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bareddy vanukuri" refreshedDate="46067.580250925923" createdVersion="8" refreshedVersion="8" minRefreshableVersion="3" recordCount="1000" xr:uid="{30314360-1432-4BAB-9C7F-1FF66B62AF59}">
  <cacheSource type="worksheet">
    <worksheetSource name="calls"/>
  </cacheSource>
  <cacheFields count="11">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acheField>
    <cacheField name="Purchase Amount" numFmtId="0">
      <sharedItems containsSemiMixedTypes="0" containsString="0" containsNumber="1" containsInteger="1" minValue="20" maxValue="225" count="107">
        <n v="128"/>
        <n v="135"/>
        <n v="66"/>
        <n v="22"/>
        <n v="31"/>
        <n v="60"/>
        <n v="148"/>
        <n v="105"/>
        <n v="69"/>
        <n v="46"/>
        <n v="108"/>
        <n v="96"/>
        <n v="68"/>
        <n v="24"/>
        <n v="195"/>
        <n v="28"/>
        <n v="170"/>
        <n v="30"/>
        <n v="72"/>
        <n v="92"/>
        <n v="165"/>
        <n v="140"/>
        <n v="111"/>
        <n v="63"/>
        <n v="80"/>
        <n v="50"/>
        <n v="123"/>
        <n v="110"/>
        <n v="42"/>
        <n v="125"/>
        <n v="26"/>
        <n v="120"/>
        <n v="132"/>
        <n v="86"/>
        <n v="155"/>
        <n v="168"/>
        <n v="56"/>
        <n v="32"/>
        <n v="78"/>
        <n v="64"/>
        <n v="136"/>
        <n v="126"/>
        <n v="160"/>
        <n v="48"/>
        <n v="90"/>
        <n v="40"/>
        <n v="215"/>
        <n v="156"/>
        <n v="54"/>
        <n v="205"/>
        <n v="23"/>
        <n v="99"/>
        <n v="34"/>
        <n v="62"/>
        <n v="112"/>
        <n v="124"/>
        <n v="35"/>
        <n v="43"/>
        <n v="130"/>
        <n v="84"/>
        <n v="172"/>
        <n v="74"/>
        <n v="100"/>
        <n v="70"/>
        <n v="37"/>
        <n v="21"/>
        <n v="88"/>
        <n v="180"/>
        <n v="52"/>
        <n v="150"/>
        <n v="200"/>
        <n v="102"/>
        <n v="104"/>
        <n v="36"/>
        <n v="114"/>
        <n v="75"/>
        <n v="93"/>
        <n v="39"/>
        <n v="25"/>
        <n v="27"/>
        <n v="210"/>
        <n v="58"/>
        <n v="45"/>
        <n v="117"/>
        <n v="164"/>
        <n v="44"/>
        <n v="129"/>
        <n v="29"/>
        <n v="20"/>
        <n v="144"/>
        <n v="87"/>
        <n v="81"/>
        <n v="176"/>
        <n v="116"/>
        <n v="225"/>
        <n v="82"/>
        <n v="220"/>
        <n v="175"/>
        <n v="145"/>
        <n v="115"/>
        <n v="38"/>
        <n v="185"/>
        <n v="41"/>
        <n v="76"/>
        <n v="190"/>
        <n v="33"/>
        <n v="152"/>
      </sharedItems>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y of week" numFmtId="0">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reddy vanukuri" refreshedDate="46067.584752430557" backgroundQuery="1" createdVersion="8" refreshedVersion="8" minRefreshableVersion="3" recordCount="0" supportSubquery="1" supportAdvancedDrill="1" xr:uid="{BC35A58D-190B-4A3C-8DE1-AFE1300BDEB4}">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reddy vanukuri" refreshedDate="46069.907335763892" backgroundQuery="1" createdVersion="8" refreshedVersion="8" minRefreshableVersion="3" recordCount="0" supportSubquery="1" supportAdvancedDrill="1" xr:uid="{02EAD1BB-131E-45A7-901E-945147947A72}">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reddy vanukuri" refreshedDate="46067.584752430557" backgroundQuery="1" createdVersion="8" refreshedVersion="8" minRefreshableVersion="3" recordCount="0" supportSubquery="1" supportAdvancedDrill="1" xr:uid="{0D4AA328-BDE7-4495-AC01-05D760EF678F}">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reddy vanukuri" refreshedDate="46063.061264699078" backgroundQuery="1" createdVersion="8" refreshedVersion="8" minRefreshableVersion="3" recordCount="0" supportSubquery="1" supportAdvancedDrill="1" xr:uid="{68C20A0C-CB0C-48BB-895A-342A8F15AA45}">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reddy vanukuri" refreshedDate="46069.929705439812" backgroundQuery="1" createdVersion="8" refreshedVersion="8" minRefreshableVersion="3" recordCount="0" supportSubquery="1" supportAdvancedDrill="1" xr:uid="{228AED03-3B38-4813-9AD5-ECA87519917C}">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reddy vanukuri" refreshedDate="46069.963226041669" backgroundQuery="1" createdVersion="8" refreshedVersion="8" minRefreshableVersion="3" recordCount="0" supportSubquery="1" supportAdvancedDrill="1" xr:uid="{4053C907-0A02-4C01-B888-3476A49231DA}">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reddy vanukuri" refreshedDate="46069.963226504631" backgroundQuery="1" createdVersion="8" refreshedVersion="8" minRefreshableVersion="3" recordCount="0" supportSubquery="1" supportAdvancedDrill="1" xr:uid="{240739E8-DB8E-45F7-B38D-39E7B09C3B62}">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0T00:00:00" count="158">
        <d v="2023-01-03T00:00:00"/>
        <d v="2023-01-05T00:00:00"/>
        <d v="2023-01-15T00:00:00"/>
        <d v="2023-01-16T00:00:00"/>
        <d v="2023-01-18T00:00:00"/>
        <d v="2023-01-19T00:00:00"/>
        <d v="2023-01-21T00:00:00"/>
        <d v="2023-01-24T00:00:00"/>
        <d v="2023-01-27T00:00:00"/>
        <d v="2023-01-28T00:00:00"/>
        <d v="2023-01-30T00:00:00"/>
        <d v="2023-02-01T00:00:00"/>
        <d v="2023-02-08T00:00:00"/>
        <d v="2023-02-10T00:00:00"/>
        <d v="2023-02-12T00:00:00"/>
        <d v="2023-02-13T00:00:00"/>
        <d v="2023-02-15T00:00:00"/>
        <d v="2023-02-16T00:00:00"/>
        <d v="2023-02-17T00:00:00"/>
        <d v="2023-02-22T00:00:00"/>
        <d v="2023-02-25T00:00:00"/>
        <d v="2023-02-28T00:00:00"/>
        <d v="2023-03-01T00:00:00"/>
        <d v="2023-03-02T00:00:00"/>
        <d v="2023-03-03T00:00:00"/>
        <d v="2023-03-04T00:00:00"/>
        <d v="2023-03-05T00:00:00"/>
        <d v="2023-03-07T00:00:00"/>
        <d v="2023-03-09T00:00:00"/>
        <d v="2023-03-11T00:00:00"/>
        <d v="2023-03-12T00:00:00"/>
        <d v="2023-03-13T00:00:00"/>
        <d v="2023-03-14T00:00:00"/>
        <d v="2023-03-15T00:00:00"/>
        <d v="2023-03-18T00:00:00"/>
        <d v="2023-03-20T00:00:00"/>
        <d v="2023-03-21T00:00:00"/>
        <d v="2023-03-22T00:00:00"/>
        <d v="2023-03-24T00:00:00"/>
        <d v="2023-03-25T00:00:00"/>
        <d v="2023-03-27T00:00:00"/>
        <d v="2023-03-28T00:00:00"/>
        <d v="2023-03-29T00:00:00"/>
        <d v="2023-04-02T00:00:00"/>
        <d v="2023-04-03T00:00:00"/>
        <d v="2023-04-05T00:00:00"/>
        <d v="2023-04-06T00:00:00"/>
        <d v="2023-04-07T00:00:00"/>
        <d v="2023-04-08T00:00:00"/>
        <d v="2023-04-12T00:00:00"/>
        <d v="2023-04-15T00:00:00"/>
        <d v="2023-04-16T00:00:00"/>
        <d v="2023-04-17T00:00:00"/>
        <d v="2023-04-19T00:00:00"/>
        <d v="2023-04-21T00:00:00"/>
        <d v="2023-04-23T00:00:00"/>
        <d v="2023-04-24T00:00:00"/>
        <d v="2023-04-25T00:00:00"/>
        <d v="2023-04-29T00:00:00"/>
        <d v="2023-05-01T00:00:00"/>
        <d v="2023-05-02T00:00:00"/>
        <d v="2023-05-03T00:00:00"/>
        <d v="2023-05-04T00:00:00"/>
        <d v="2023-05-08T00:00:00"/>
        <d v="2023-05-12T00:00:00"/>
        <d v="2023-05-18T00:00:00"/>
        <d v="2023-05-19T00:00:00"/>
        <d v="2023-05-21T00:00:00"/>
        <d v="2023-05-22T00:00:00"/>
        <d v="2023-05-24T00:00:00"/>
        <d v="2023-05-25T00:00:00"/>
        <d v="2023-05-28T00:00:00"/>
        <d v="2023-05-30T00:00:00"/>
        <d v="2023-05-31T00:00:00"/>
        <d v="2023-06-01T00:00:00"/>
        <d v="2023-06-03T00:00:00"/>
        <d v="2023-06-04T00:00:00"/>
        <d v="2023-06-07T00:00:00"/>
        <d v="2023-06-09T00:00:00"/>
        <d v="2023-06-12T00:00:00"/>
        <d v="2023-06-15T00:00:00"/>
        <d v="2023-06-17T00:00:00"/>
        <d v="2023-06-18T00:00:00"/>
        <d v="2023-06-19T00:00:00"/>
        <d v="2023-06-21T00:00:00"/>
        <d v="2023-06-23T00:00:00"/>
        <d v="2023-06-25T00:00:00"/>
        <d v="2023-06-26T00:00:00"/>
        <d v="2023-07-04T00:00:00"/>
        <d v="2023-07-09T00:00:00"/>
        <d v="2023-07-10T00:00:00"/>
        <d v="2023-07-12T00:00:00"/>
        <d v="2023-07-19T00:00:00"/>
        <d v="2023-07-26T00:00:00"/>
        <d v="2023-07-27T00:00:00"/>
        <d v="2023-07-31T00:00:00"/>
        <d v="2023-08-03T00:00:00"/>
        <d v="2023-08-07T00:00:00"/>
        <d v="2023-08-10T00:00:00"/>
        <d v="2023-08-12T00:00:00"/>
        <d v="2023-08-20T00:00:00"/>
        <d v="2023-08-26T00:00:00"/>
        <d v="2023-08-27T00:00:00"/>
        <d v="2023-08-29T00:00:00"/>
        <d v="2023-09-01T00:00:00"/>
        <d v="2023-09-06T00:00:00"/>
        <d v="2023-09-07T00:00:00"/>
        <d v="2023-09-08T00:00:00"/>
        <d v="2023-09-09T00:00:00"/>
        <d v="2023-09-10T00:00:00"/>
        <d v="2023-09-12T00:00:00"/>
        <d v="2023-09-13T00:00:00"/>
        <d v="2023-09-19T00:00:00"/>
        <d v="2023-09-24T00:00:00"/>
        <d v="2023-09-30T00:00:00"/>
        <d v="2023-10-01T00:00:00"/>
        <d v="2023-10-02T00:00:00"/>
        <d v="2023-10-04T00:00:00"/>
        <d v="2023-10-06T00:00:00"/>
        <d v="2023-10-07T00:00:00"/>
        <d v="2023-10-08T00:00:00"/>
        <d v="2023-10-09T00:00:00"/>
        <d v="2023-10-10T00:00:00"/>
        <d v="2023-10-11T00:00:00"/>
        <d v="2023-10-14T00:00:00"/>
        <d v="2023-10-15T00:00:00"/>
        <d v="2023-10-16T00:00:00"/>
        <d v="2023-10-17T00:00:00"/>
        <d v="2023-10-18T00:00:00"/>
        <d v="2023-10-19T00:00:00"/>
        <d v="2023-10-22T00:00:00"/>
        <d v="2023-10-24T00:00:00"/>
        <d v="2023-10-28T00:00:00"/>
        <d v="2023-10-30T00:00:00"/>
        <d v="2023-10-31T00:00:00"/>
        <d v="2023-11-03T00:00:00"/>
        <d v="2023-11-07T00:00:00"/>
        <d v="2023-11-08T00:00:00"/>
        <d v="2023-11-13T00:00:00"/>
        <d v="2023-11-14T00:00:00"/>
        <d v="2023-11-15T00:00:00"/>
        <d v="2023-11-16T00:00:00"/>
        <d v="2023-11-17T00:00:00"/>
        <d v="2023-11-18T00:00:00"/>
        <d v="2023-11-20T00:00:00"/>
        <d v="2023-11-21T00:00:00"/>
        <d v="2023-11-23T00:00:00"/>
        <d v="2023-11-24T00:00:00"/>
        <d v="2023-11-29T00:00:00"/>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reddy vanukuri" refreshedDate="46069.963227083332" backgroundQuery="1" createdVersion="8" refreshedVersion="8" minRefreshableVersion="3" recordCount="0" supportSubquery="1" supportAdvancedDrill="1" xr:uid="{34EDD4E1-1211-45FB-940C-97B4D73E9131}">
  <cacheSource type="external" connectionId="2"/>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reddy vanukuri" refreshedDate="46069.963227546294" backgroundQuery="1" createdVersion="8" refreshedVersion="8" minRefreshableVersion="3" recordCount="0" supportSubquery="1" supportAdvancedDrill="1" xr:uid="{1D80089B-E534-4B8C-ACEC-A397704E5659}">
  <cacheSource type="external" connectionId="2"/>
  <cacheFields count="1">
    <cacheField name="[calls].[Representative].[Representative]" caption="Representative" numFmtId="0" hierarchy="3" level="1">
      <sharedItems count="1">
        <s v="R03"/>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reddy vanukuri" refreshedDate="46069.963228009263" backgroundQuery="1" createdVersion="8" refreshedVersion="8" minRefreshableVersion="3" recordCount="0" supportSubquery="1" supportAdvancedDrill="1" xr:uid="{F56E7782-0C6B-4160-8672-AC6B555D89E3}">
  <cacheSource type="external" connectionId="2"/>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bareddy vanukuri" refreshedDate="46063.061257291665" backgroundQuery="1" createdVersion="3" refreshedVersion="8" minRefreshableVersion="3" recordCount="0" supportSubquery="1" supportAdvancedDrill="1" xr:uid="{552596BF-6EB8-4535-90E2-EB8DEB24C389}">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8099384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s v="C0003"/>
    <n v="116"/>
    <x v="0"/>
    <d v="2023-01-01T00:00:00"/>
    <x v="0"/>
    <n v="4.9000000000000004"/>
    <n v="2023"/>
    <s v="Sunday"/>
    <x v="0"/>
    <n v="5"/>
  </r>
  <r>
    <s v="Call_7272"/>
    <s v="C0004"/>
    <n v="119"/>
    <x v="0"/>
    <d v="2023-01-01T00:00:00"/>
    <x v="1"/>
    <n v="2.9"/>
    <n v="2023"/>
    <s v="Sunday"/>
    <x v="0"/>
    <n v="3"/>
  </r>
  <r>
    <s v="Call_7273"/>
    <s v="C0005"/>
    <n v="68"/>
    <x v="1"/>
    <d v="2023-01-01T00:00:00"/>
    <x v="2"/>
    <n v="4.7"/>
    <n v="2023"/>
    <s v="Sunday"/>
    <x v="0"/>
    <n v="5"/>
  </r>
  <r>
    <s v="Call_7274"/>
    <s v="C0014"/>
    <n v="119"/>
    <x v="1"/>
    <d v="2023-01-01T00:00:00"/>
    <x v="3"/>
    <n v="2.9"/>
    <n v="2023"/>
    <s v="Sunday"/>
    <x v="0"/>
    <n v="3"/>
  </r>
  <r>
    <s v="Call_7275"/>
    <s v="C0011"/>
    <n v="128"/>
    <x v="2"/>
    <d v="2023-01-02T00:00:00"/>
    <x v="4"/>
    <n v="2.8"/>
    <n v="2023"/>
    <s v="Monday"/>
    <x v="1"/>
    <n v="3"/>
  </r>
  <r>
    <s v="Call_7276"/>
    <s v="C0011"/>
    <n v="49"/>
    <x v="1"/>
    <d v="2023-01-03T00:00:00"/>
    <x v="1"/>
    <n v="4.8"/>
    <n v="2023"/>
    <s v="Tuesday"/>
    <x v="2"/>
    <n v="5"/>
  </r>
  <r>
    <s v="Call_7277"/>
    <s v="C0007"/>
    <n v="84"/>
    <x v="0"/>
    <d v="2023-01-03T00:00:00"/>
    <x v="5"/>
    <n v="4.7"/>
    <n v="2023"/>
    <s v="Tuesday"/>
    <x v="0"/>
    <n v="5"/>
  </r>
  <r>
    <s v="Call_7278"/>
    <s v="C0003"/>
    <n v="103"/>
    <x v="3"/>
    <d v="2023-01-03T00:00:00"/>
    <x v="6"/>
    <n v="4.4000000000000004"/>
    <n v="2023"/>
    <s v="Tuesday"/>
    <x v="0"/>
    <n v="4"/>
  </r>
  <r>
    <s v="Call_7279"/>
    <s v="C0005"/>
    <n v="31"/>
    <x v="1"/>
    <d v="2023-01-03T00:00:00"/>
    <x v="1"/>
    <n v="3.6"/>
    <n v="2023"/>
    <s v="Tuesday"/>
    <x v="2"/>
    <n v="4"/>
  </r>
  <r>
    <s v="Call_7280"/>
    <s v="C0010"/>
    <n v="44"/>
    <x v="4"/>
    <d v="2023-01-03T00:00:00"/>
    <x v="7"/>
    <n v="2.9"/>
    <n v="2023"/>
    <s v="Tuesday"/>
    <x v="2"/>
    <n v="3"/>
  </r>
  <r>
    <s v="Call_7281"/>
    <s v="C0011"/>
    <n v="102"/>
    <x v="1"/>
    <d v="2023-01-03T00:00:00"/>
    <x v="8"/>
    <n v="4.9000000000000004"/>
    <n v="2023"/>
    <s v="Tuesday"/>
    <x v="0"/>
    <n v="5"/>
  </r>
  <r>
    <s v="Call_7282"/>
    <s v="C0013"/>
    <n v="135"/>
    <x v="0"/>
    <d v="2023-01-03T00:00:00"/>
    <x v="9"/>
    <n v="3.4"/>
    <n v="2023"/>
    <s v="Tuesday"/>
    <x v="1"/>
    <n v="3"/>
  </r>
  <r>
    <s v="Call_7283"/>
    <s v="C0002"/>
    <n v="98"/>
    <x v="1"/>
    <d v="2023-01-04T00:00:00"/>
    <x v="10"/>
    <n v="3.5"/>
    <n v="2023"/>
    <s v="Wednesday"/>
    <x v="0"/>
    <n v="4"/>
  </r>
  <r>
    <s v="Call_7284"/>
    <s v="C0010"/>
    <n v="139"/>
    <x v="1"/>
    <d v="2023-01-04T00:00:00"/>
    <x v="11"/>
    <n v="4"/>
    <n v="2023"/>
    <s v="Wednesday"/>
    <x v="1"/>
    <n v="4"/>
  </r>
  <r>
    <s v="Call_7285"/>
    <s v="C0013"/>
    <n v="48"/>
    <x v="2"/>
    <d v="2023-01-04T00:00:00"/>
    <x v="12"/>
    <n v="4.9000000000000004"/>
    <n v="2023"/>
    <s v="Wednesday"/>
    <x v="2"/>
    <n v="5"/>
  </r>
  <r>
    <s v="Call_7286"/>
    <s v="C0010"/>
    <n v="176"/>
    <x v="0"/>
    <d v="2023-01-05T00:00:00"/>
    <x v="13"/>
    <n v="4.8"/>
    <n v="2023"/>
    <s v="Thursday"/>
    <x v="1"/>
    <n v="5"/>
  </r>
  <r>
    <s v="Call_7287"/>
    <s v="C0010"/>
    <n v="99"/>
    <x v="2"/>
    <d v="2023-01-05T00:00:00"/>
    <x v="14"/>
    <n v="3.9"/>
    <n v="2023"/>
    <s v="Thursday"/>
    <x v="0"/>
    <n v="4"/>
  </r>
  <r>
    <s v="Call_7288"/>
    <s v="C0009"/>
    <n v="28"/>
    <x v="4"/>
    <d v="2023-01-05T00:00:00"/>
    <x v="15"/>
    <n v="3.8"/>
    <n v="2023"/>
    <s v="Thursday"/>
    <x v="3"/>
    <n v="4"/>
  </r>
  <r>
    <s v="Call_7289"/>
    <s v="C0007"/>
    <n v="54"/>
    <x v="1"/>
    <d v="2023-01-05T00:00:00"/>
    <x v="16"/>
    <n v="4.3"/>
    <n v="2023"/>
    <s v="Thursday"/>
    <x v="2"/>
    <n v="4"/>
  </r>
  <r>
    <s v="Call_7290"/>
    <s v="C0006"/>
    <n v="48"/>
    <x v="0"/>
    <d v="2023-01-06T00:00:00"/>
    <x v="17"/>
    <n v="4.4000000000000004"/>
    <n v="2023"/>
    <s v="Friday"/>
    <x v="2"/>
    <n v="4"/>
  </r>
  <r>
    <s v="Call_7291"/>
    <s v="C0004"/>
    <n v="128"/>
    <x v="0"/>
    <d v="2023-01-06T00:00:00"/>
    <x v="18"/>
    <n v="5"/>
    <n v="2023"/>
    <s v="Friday"/>
    <x v="1"/>
    <n v="5"/>
  </r>
  <r>
    <s v="Call_7292"/>
    <s v="C0004"/>
    <n v="38"/>
    <x v="3"/>
    <d v="2023-01-07T00:00:00"/>
    <x v="19"/>
    <n v="4.9000000000000004"/>
    <n v="2023"/>
    <s v="Saturday"/>
    <x v="2"/>
    <n v="5"/>
  </r>
  <r>
    <s v="Call_7293"/>
    <s v="C0003"/>
    <n v="67"/>
    <x v="3"/>
    <d v="2023-01-08T00:00:00"/>
    <x v="20"/>
    <n v="4.5"/>
    <n v="2023"/>
    <s v="Sunday"/>
    <x v="0"/>
    <n v="5"/>
  </r>
  <r>
    <s v="Call_7294"/>
    <s v="C0015"/>
    <n v="58"/>
    <x v="1"/>
    <d v="2023-01-08T00:00:00"/>
    <x v="21"/>
    <n v="2.1"/>
    <n v="2023"/>
    <s v="Sunday"/>
    <x v="2"/>
    <n v="2"/>
  </r>
  <r>
    <s v="Call_7295"/>
    <s v="C0010"/>
    <n v="54"/>
    <x v="2"/>
    <d v="2023-01-08T00:00:00"/>
    <x v="22"/>
    <n v="3.3"/>
    <n v="2023"/>
    <s v="Sunday"/>
    <x v="2"/>
    <n v="3"/>
  </r>
  <r>
    <s v="Call_7296"/>
    <s v="C0012"/>
    <n v="28"/>
    <x v="0"/>
    <d v="2023-01-09T00:00:00"/>
    <x v="23"/>
    <n v="4.0999999999999996"/>
    <n v="2023"/>
    <s v="Monday"/>
    <x v="3"/>
    <n v="4"/>
  </r>
  <r>
    <s v="Call_7297"/>
    <s v="C0002"/>
    <n v="73"/>
    <x v="0"/>
    <d v="2023-01-09T00:00:00"/>
    <x v="24"/>
    <n v="4.2"/>
    <n v="2023"/>
    <s v="Monday"/>
    <x v="0"/>
    <n v="4"/>
  </r>
  <r>
    <s v="Call_7298"/>
    <s v="C0011"/>
    <n v="81"/>
    <x v="0"/>
    <d v="2023-01-10T00:00:00"/>
    <x v="25"/>
    <n v="4.5999999999999996"/>
    <n v="2023"/>
    <s v="Tuesday"/>
    <x v="0"/>
    <n v="5"/>
  </r>
  <r>
    <s v="Call_7299"/>
    <s v="C0009"/>
    <n v="31"/>
    <x v="3"/>
    <d v="2023-01-10T00:00:00"/>
    <x v="26"/>
    <n v="2.9"/>
    <n v="2023"/>
    <s v="Tuesday"/>
    <x v="2"/>
    <n v="3"/>
  </r>
  <r>
    <s v="Call_7300"/>
    <s v="C0015"/>
    <n v="155"/>
    <x v="2"/>
    <d v="2023-01-10T00:00:00"/>
    <x v="27"/>
    <n v="4.8"/>
    <n v="2023"/>
    <s v="Tuesday"/>
    <x v="1"/>
    <n v="5"/>
  </r>
  <r>
    <s v="Call_7301"/>
    <s v="C0009"/>
    <n v="80"/>
    <x v="0"/>
    <d v="2023-01-10T00:00:00"/>
    <x v="21"/>
    <n v="4.2"/>
    <n v="2023"/>
    <s v="Tuesday"/>
    <x v="0"/>
    <n v="4"/>
  </r>
  <r>
    <s v="Call_7302"/>
    <s v="C0011"/>
    <n v="82"/>
    <x v="0"/>
    <d v="2023-01-12T00:00:00"/>
    <x v="28"/>
    <n v="3.7"/>
    <n v="2023"/>
    <s v="Thursday"/>
    <x v="0"/>
    <n v="4"/>
  </r>
  <r>
    <s v="Call_7303"/>
    <s v="C0011"/>
    <n v="29"/>
    <x v="2"/>
    <d v="2023-01-12T00:00:00"/>
    <x v="16"/>
    <n v="5"/>
    <n v="2023"/>
    <s v="Thursday"/>
    <x v="3"/>
    <n v="5"/>
  </r>
  <r>
    <s v="Call_7304"/>
    <s v="C0006"/>
    <n v="160"/>
    <x v="1"/>
    <d v="2023-01-14T00:00:00"/>
    <x v="7"/>
    <n v="5"/>
    <n v="2023"/>
    <s v="Saturday"/>
    <x v="1"/>
    <n v="5"/>
  </r>
  <r>
    <s v="Call_7305"/>
    <s v="C0001"/>
    <n v="105"/>
    <x v="0"/>
    <d v="2023-01-15T00:00:00"/>
    <x v="29"/>
    <n v="4.8"/>
    <n v="2023"/>
    <s v="Sunday"/>
    <x v="0"/>
    <n v="5"/>
  </r>
  <r>
    <s v="Call_7306"/>
    <s v="C0009"/>
    <n v="75"/>
    <x v="4"/>
    <d v="2023-01-15T00:00:00"/>
    <x v="30"/>
    <n v="2.4"/>
    <n v="2023"/>
    <s v="Sunday"/>
    <x v="0"/>
    <n v="2"/>
  </r>
  <r>
    <s v="Call_7307"/>
    <s v="C0015"/>
    <n v="94"/>
    <x v="4"/>
    <d v="2023-01-16T00:00:00"/>
    <x v="31"/>
    <n v="3.1"/>
    <n v="2023"/>
    <s v="Monday"/>
    <x v="0"/>
    <n v="3"/>
  </r>
  <r>
    <s v="Call_7308"/>
    <s v="C0004"/>
    <n v="90"/>
    <x v="1"/>
    <d v="2023-01-16T00:00:00"/>
    <x v="32"/>
    <n v="3.2"/>
    <n v="2023"/>
    <s v="Monday"/>
    <x v="0"/>
    <n v="3"/>
  </r>
  <r>
    <s v="Call_7309"/>
    <s v="C0015"/>
    <n v="81"/>
    <x v="3"/>
    <d v="2023-01-17T00:00:00"/>
    <x v="33"/>
    <n v="2.4"/>
    <n v="2023"/>
    <s v="Tuesday"/>
    <x v="0"/>
    <n v="2"/>
  </r>
  <r>
    <s v="Call_7310"/>
    <s v="C0009"/>
    <n v="106"/>
    <x v="0"/>
    <d v="2023-01-17T00:00:00"/>
    <x v="10"/>
    <n v="5"/>
    <n v="2023"/>
    <s v="Tuesday"/>
    <x v="0"/>
    <n v="5"/>
  </r>
  <r>
    <s v="Call_7311"/>
    <s v="C0004"/>
    <n v="74"/>
    <x v="3"/>
    <d v="2023-01-17T00:00:00"/>
    <x v="11"/>
    <n v="4.7"/>
    <n v="2023"/>
    <s v="Tuesday"/>
    <x v="0"/>
    <n v="5"/>
  </r>
  <r>
    <s v="Call_7312"/>
    <s v="C0010"/>
    <n v="105"/>
    <x v="1"/>
    <d v="2023-01-18T00:00:00"/>
    <x v="24"/>
    <n v="4.7"/>
    <n v="2023"/>
    <s v="Wednesday"/>
    <x v="0"/>
    <n v="5"/>
  </r>
  <r>
    <s v="Call_7313"/>
    <s v="C0009"/>
    <n v="89"/>
    <x v="0"/>
    <d v="2023-01-18T00:00:00"/>
    <x v="34"/>
    <n v="4.0999999999999996"/>
    <n v="2023"/>
    <s v="Wednesday"/>
    <x v="0"/>
    <n v="4"/>
  </r>
  <r>
    <s v="Call_7314"/>
    <s v="C0013"/>
    <n v="132"/>
    <x v="4"/>
    <d v="2023-01-18T00:00:00"/>
    <x v="35"/>
    <n v="4.0999999999999996"/>
    <n v="2023"/>
    <s v="Wednesday"/>
    <x v="1"/>
    <n v="4"/>
  </r>
  <r>
    <s v="Call_7315"/>
    <s v="C0001"/>
    <n v="105"/>
    <x v="2"/>
    <d v="2023-01-18T00:00:00"/>
    <x v="36"/>
    <n v="3.6"/>
    <n v="2023"/>
    <s v="Wednesday"/>
    <x v="0"/>
    <n v="4"/>
  </r>
  <r>
    <s v="Call_7316"/>
    <s v="C0011"/>
    <n v="13"/>
    <x v="4"/>
    <d v="2023-01-19T00:00:00"/>
    <x v="37"/>
    <n v="4.4000000000000004"/>
    <n v="2023"/>
    <s v="Thursday"/>
    <x v="3"/>
    <n v="4"/>
  </r>
  <r>
    <s v="Call_7317"/>
    <s v="C0014"/>
    <n v="131"/>
    <x v="2"/>
    <d v="2023-01-19T00:00:00"/>
    <x v="38"/>
    <n v="4.4000000000000004"/>
    <n v="2023"/>
    <s v="Thursday"/>
    <x v="1"/>
    <n v="4"/>
  </r>
  <r>
    <s v="Call_7318"/>
    <s v="C0004"/>
    <n v="104"/>
    <x v="0"/>
    <d v="2023-01-19T00:00:00"/>
    <x v="33"/>
    <n v="4"/>
    <n v="2023"/>
    <s v="Thursday"/>
    <x v="0"/>
    <n v="4"/>
  </r>
  <r>
    <s v="Call_7319"/>
    <s v="C0003"/>
    <n v="90"/>
    <x v="1"/>
    <d v="2023-01-20T00:00:00"/>
    <x v="39"/>
    <n v="3.8"/>
    <n v="2023"/>
    <s v="Friday"/>
    <x v="0"/>
    <n v="4"/>
  </r>
  <r>
    <s v="Call_7320"/>
    <s v="C0012"/>
    <n v="37"/>
    <x v="1"/>
    <d v="2023-01-20T00:00:00"/>
    <x v="11"/>
    <n v="3.6"/>
    <n v="2023"/>
    <s v="Friday"/>
    <x v="2"/>
    <n v="4"/>
  </r>
  <r>
    <s v="Call_7321"/>
    <s v="C0002"/>
    <n v="149"/>
    <x v="2"/>
    <d v="2023-01-20T00:00:00"/>
    <x v="18"/>
    <n v="4.3"/>
    <n v="2023"/>
    <s v="Friday"/>
    <x v="1"/>
    <n v="4"/>
  </r>
  <r>
    <s v="Call_7322"/>
    <s v="C0013"/>
    <n v="100"/>
    <x v="3"/>
    <d v="2023-01-21T00:00:00"/>
    <x v="1"/>
    <n v="3.8"/>
    <n v="2023"/>
    <s v="Saturday"/>
    <x v="0"/>
    <n v="4"/>
  </r>
  <r>
    <s v="Call_7323"/>
    <s v="C0013"/>
    <n v="79"/>
    <x v="4"/>
    <d v="2023-01-21T00:00:00"/>
    <x v="21"/>
    <n v="4.5"/>
    <n v="2023"/>
    <s v="Saturday"/>
    <x v="0"/>
    <n v="5"/>
  </r>
  <r>
    <s v="Call_7324"/>
    <s v="C0008"/>
    <n v="157"/>
    <x v="2"/>
    <d v="2023-01-21T00:00:00"/>
    <x v="8"/>
    <n v="4.5"/>
    <n v="2023"/>
    <s v="Saturday"/>
    <x v="1"/>
    <n v="5"/>
  </r>
  <r>
    <s v="Call_7325"/>
    <s v="C0013"/>
    <n v="59"/>
    <x v="0"/>
    <d v="2023-01-22T00:00:00"/>
    <x v="40"/>
    <n v="4.5999999999999996"/>
    <n v="2023"/>
    <s v="Sunday"/>
    <x v="2"/>
    <n v="5"/>
  </r>
  <r>
    <s v="Call_7326"/>
    <s v="C0012"/>
    <n v="83"/>
    <x v="2"/>
    <d v="2023-01-22T00:00:00"/>
    <x v="15"/>
    <n v="4.5"/>
    <n v="2023"/>
    <s v="Sunday"/>
    <x v="0"/>
    <n v="5"/>
  </r>
  <r>
    <s v="Call_7327"/>
    <s v="C0008"/>
    <n v="58"/>
    <x v="1"/>
    <d v="2023-01-23T00:00:00"/>
    <x v="1"/>
    <n v="3.3"/>
    <n v="2023"/>
    <s v="Monday"/>
    <x v="2"/>
    <n v="3"/>
  </r>
  <r>
    <s v="Call_7328"/>
    <s v="C0015"/>
    <n v="118"/>
    <x v="1"/>
    <d v="2023-01-23T00:00:00"/>
    <x v="41"/>
    <n v="2.2999999999999998"/>
    <n v="2023"/>
    <s v="Monday"/>
    <x v="0"/>
    <n v="2"/>
  </r>
  <r>
    <s v="Call_7329"/>
    <s v="C0011"/>
    <n v="63"/>
    <x v="0"/>
    <d v="2023-01-23T00:00:00"/>
    <x v="42"/>
    <n v="4.3"/>
    <n v="2023"/>
    <s v="Monday"/>
    <x v="0"/>
    <n v="4"/>
  </r>
  <r>
    <s v="Call_7330"/>
    <s v="C0008"/>
    <n v="95"/>
    <x v="1"/>
    <d v="2023-01-24T00:00:00"/>
    <x v="43"/>
    <n v="4.5999999999999996"/>
    <n v="2023"/>
    <s v="Tuesday"/>
    <x v="0"/>
    <n v="5"/>
  </r>
  <r>
    <s v="Call_7331"/>
    <s v="C0013"/>
    <n v="74"/>
    <x v="2"/>
    <d v="2023-01-24T00:00:00"/>
    <x v="2"/>
    <n v="4"/>
    <n v="2023"/>
    <s v="Tuesday"/>
    <x v="0"/>
    <n v="4"/>
  </r>
  <r>
    <s v="Call_7332"/>
    <s v="C0010"/>
    <n v="130"/>
    <x v="3"/>
    <d v="2023-01-24T00:00:00"/>
    <x v="41"/>
    <n v="2.5"/>
    <n v="2023"/>
    <s v="Tuesday"/>
    <x v="1"/>
    <n v="3"/>
  </r>
  <r>
    <s v="Call_7333"/>
    <s v="C0015"/>
    <n v="110"/>
    <x v="4"/>
    <d v="2023-01-24T00:00:00"/>
    <x v="11"/>
    <n v="5"/>
    <n v="2023"/>
    <s v="Tuesday"/>
    <x v="0"/>
    <n v="5"/>
  </r>
  <r>
    <s v="Call_7334"/>
    <s v="C0013"/>
    <n v="71"/>
    <x v="0"/>
    <d v="2023-01-25T00:00:00"/>
    <x v="44"/>
    <n v="3.8"/>
    <n v="2023"/>
    <s v="Wednesday"/>
    <x v="0"/>
    <n v="4"/>
  </r>
  <r>
    <s v="Call_7335"/>
    <s v="C0001"/>
    <n v="147"/>
    <x v="3"/>
    <d v="2023-01-25T00:00:00"/>
    <x v="7"/>
    <n v="4.4000000000000004"/>
    <n v="2023"/>
    <s v="Wednesday"/>
    <x v="1"/>
    <n v="4"/>
  </r>
  <r>
    <s v="Call_7336"/>
    <s v="C0004"/>
    <n v="69"/>
    <x v="1"/>
    <d v="2023-01-26T00:00:00"/>
    <x v="45"/>
    <n v="3.8"/>
    <n v="2023"/>
    <s v="Thursday"/>
    <x v="0"/>
    <n v="4"/>
  </r>
  <r>
    <s v="Call_7337"/>
    <s v="C0015"/>
    <n v="50"/>
    <x v="0"/>
    <d v="2023-01-26T00:00:00"/>
    <x v="5"/>
    <n v="2"/>
    <n v="2023"/>
    <s v="Thursday"/>
    <x v="2"/>
    <n v="2"/>
  </r>
  <r>
    <s v="Call_7338"/>
    <s v="C0010"/>
    <n v="124"/>
    <x v="3"/>
    <d v="2023-01-27T00:00:00"/>
    <x v="46"/>
    <n v="4.0999999999999996"/>
    <n v="2023"/>
    <s v="Friday"/>
    <x v="1"/>
    <n v="4"/>
  </r>
  <r>
    <s v="Call_7339"/>
    <s v="C0005"/>
    <n v="81"/>
    <x v="2"/>
    <d v="2023-01-27T00:00:00"/>
    <x v="47"/>
    <n v="2.6"/>
    <n v="2023"/>
    <s v="Friday"/>
    <x v="0"/>
    <n v="3"/>
  </r>
  <r>
    <s v="Call_7340"/>
    <s v="C0006"/>
    <n v="141"/>
    <x v="4"/>
    <d v="2023-01-27T00:00:00"/>
    <x v="48"/>
    <n v="0"/>
    <n v="2023"/>
    <s v="Friday"/>
    <x v="1"/>
    <n v="0"/>
  </r>
  <r>
    <s v="Call_7341"/>
    <s v="C0006"/>
    <n v="168"/>
    <x v="4"/>
    <d v="2023-01-28T00:00:00"/>
    <x v="42"/>
    <n v="3.9"/>
    <n v="2023"/>
    <s v="Saturday"/>
    <x v="1"/>
    <n v="4"/>
  </r>
  <r>
    <s v="Call_7342"/>
    <s v="C0001"/>
    <n v="101"/>
    <x v="2"/>
    <d v="2023-01-28T00:00:00"/>
    <x v="24"/>
    <n v="4.8"/>
    <n v="2023"/>
    <s v="Saturday"/>
    <x v="0"/>
    <n v="5"/>
  </r>
  <r>
    <s v="Call_7343"/>
    <s v="C0013"/>
    <n v="67"/>
    <x v="2"/>
    <d v="2023-01-28T00:00:00"/>
    <x v="35"/>
    <n v="2.6"/>
    <n v="2023"/>
    <s v="Saturday"/>
    <x v="0"/>
    <n v="3"/>
  </r>
  <r>
    <s v="Call_7344"/>
    <s v="C0008"/>
    <n v="114"/>
    <x v="4"/>
    <d v="2023-01-30T00:00:00"/>
    <x v="28"/>
    <n v="2.6"/>
    <n v="2023"/>
    <s v="Monday"/>
    <x v="0"/>
    <n v="3"/>
  </r>
  <r>
    <s v="Call_7345"/>
    <s v="C0005"/>
    <n v="42"/>
    <x v="2"/>
    <d v="2023-01-30T00:00:00"/>
    <x v="49"/>
    <n v="3.6"/>
    <n v="2023"/>
    <s v="Monday"/>
    <x v="2"/>
    <n v="4"/>
  </r>
  <r>
    <s v="Call_7346"/>
    <s v="C0011"/>
    <n v="69"/>
    <x v="4"/>
    <d v="2023-01-30T00:00:00"/>
    <x v="10"/>
    <n v="3.3"/>
    <n v="2023"/>
    <s v="Monday"/>
    <x v="0"/>
    <n v="3"/>
  </r>
  <r>
    <s v="Call_7347"/>
    <s v="C0010"/>
    <n v="145"/>
    <x v="1"/>
    <d v="2023-01-30T00:00:00"/>
    <x v="38"/>
    <n v="1.9"/>
    <n v="2023"/>
    <s v="Monday"/>
    <x v="1"/>
    <n v="2"/>
  </r>
  <r>
    <s v="Call_7348"/>
    <s v="C0004"/>
    <n v="43"/>
    <x v="4"/>
    <d v="2023-01-30T00:00:00"/>
    <x v="50"/>
    <n v="4.9000000000000004"/>
    <n v="2023"/>
    <s v="Monday"/>
    <x v="2"/>
    <n v="5"/>
  </r>
  <r>
    <s v="Call_7349"/>
    <s v="C0011"/>
    <n v="62"/>
    <x v="0"/>
    <d v="2023-01-31T00:00:00"/>
    <x v="51"/>
    <n v="3.6"/>
    <n v="2023"/>
    <s v="Tuesday"/>
    <x v="0"/>
    <n v="4"/>
  </r>
  <r>
    <s v="Call_7350"/>
    <s v="C0009"/>
    <n v="79"/>
    <x v="4"/>
    <d v="2023-02-01T00:00:00"/>
    <x v="6"/>
    <n v="4.5"/>
    <n v="2023"/>
    <s v="Wednesday"/>
    <x v="0"/>
    <n v="5"/>
  </r>
  <r>
    <s v="Call_7351"/>
    <s v="C0010"/>
    <n v="45"/>
    <x v="3"/>
    <d v="2023-02-01T00:00:00"/>
    <x v="52"/>
    <n v="3.7"/>
    <n v="2023"/>
    <s v="Wednesday"/>
    <x v="2"/>
    <n v="4"/>
  </r>
  <r>
    <s v="Call_7352"/>
    <s v="C0011"/>
    <n v="137"/>
    <x v="4"/>
    <d v="2023-02-01T00:00:00"/>
    <x v="33"/>
    <n v="4.8"/>
    <n v="2023"/>
    <s v="Wednesday"/>
    <x v="1"/>
    <n v="5"/>
  </r>
  <r>
    <s v="Call_7353"/>
    <s v="C0008"/>
    <n v="109"/>
    <x v="0"/>
    <d v="2023-02-01T00:00:00"/>
    <x v="7"/>
    <n v="3.3"/>
    <n v="2023"/>
    <s v="Wednesday"/>
    <x v="0"/>
    <n v="3"/>
  </r>
  <r>
    <s v="Call_7354"/>
    <s v="C0004"/>
    <n v="78"/>
    <x v="0"/>
    <d v="2023-02-01T00:00:00"/>
    <x v="53"/>
    <n v="3.1"/>
    <n v="2023"/>
    <s v="Wednesday"/>
    <x v="0"/>
    <n v="3"/>
  </r>
  <r>
    <s v="Call_7355"/>
    <s v="C0011"/>
    <n v="137"/>
    <x v="3"/>
    <d v="2023-02-01T00:00:00"/>
    <x v="44"/>
    <n v="4.0999999999999996"/>
    <n v="2023"/>
    <s v="Wednesday"/>
    <x v="1"/>
    <n v="4"/>
  </r>
  <r>
    <s v="Call_7356"/>
    <s v="C0014"/>
    <n v="99"/>
    <x v="0"/>
    <d v="2023-02-02T00:00:00"/>
    <x v="54"/>
    <n v="4.9000000000000004"/>
    <n v="2023"/>
    <s v="Thursday"/>
    <x v="0"/>
    <n v="5"/>
  </r>
  <r>
    <s v="Call_7357"/>
    <s v="C0015"/>
    <n v="100"/>
    <x v="0"/>
    <d v="2023-02-02T00:00:00"/>
    <x v="1"/>
    <n v="4"/>
    <n v="2023"/>
    <s v="Thursday"/>
    <x v="0"/>
    <n v="4"/>
  </r>
  <r>
    <s v="Call_7358"/>
    <s v="C0004"/>
    <n v="47"/>
    <x v="1"/>
    <d v="2023-02-02T00:00:00"/>
    <x v="52"/>
    <n v="2.1"/>
    <n v="2023"/>
    <s v="Thursday"/>
    <x v="2"/>
    <n v="2"/>
  </r>
  <r>
    <s v="Call_7359"/>
    <s v="C0008"/>
    <n v="87"/>
    <x v="2"/>
    <d v="2023-02-02T00:00:00"/>
    <x v="34"/>
    <n v="4.5"/>
    <n v="2023"/>
    <s v="Thursday"/>
    <x v="0"/>
    <n v="5"/>
  </r>
  <r>
    <s v="Call_7360"/>
    <s v="C0014"/>
    <n v="143"/>
    <x v="2"/>
    <d v="2023-02-04T00:00:00"/>
    <x v="55"/>
    <n v="4.9000000000000004"/>
    <n v="2023"/>
    <s v="Saturday"/>
    <x v="1"/>
    <n v="5"/>
  </r>
  <r>
    <s v="Call_7361"/>
    <s v="C0015"/>
    <n v="84"/>
    <x v="0"/>
    <d v="2023-02-04T00:00:00"/>
    <x v="14"/>
    <n v="4.0999999999999996"/>
    <n v="2023"/>
    <s v="Saturday"/>
    <x v="0"/>
    <n v="4"/>
  </r>
  <r>
    <s v="Call_7362"/>
    <s v="C0001"/>
    <n v="55"/>
    <x v="2"/>
    <d v="2023-02-05T00:00:00"/>
    <x v="38"/>
    <n v="4.5"/>
    <n v="2023"/>
    <s v="Sunday"/>
    <x v="2"/>
    <n v="5"/>
  </r>
  <r>
    <s v="Call_7363"/>
    <s v="C0007"/>
    <n v="135"/>
    <x v="3"/>
    <d v="2023-02-07T00:00:00"/>
    <x v="56"/>
    <n v="4.8"/>
    <n v="2023"/>
    <s v="Tuesday"/>
    <x v="1"/>
    <n v="5"/>
  </r>
  <r>
    <s v="Call_7364"/>
    <s v="C0012"/>
    <n v="152"/>
    <x v="1"/>
    <d v="2023-02-07T00:00:00"/>
    <x v="26"/>
    <n v="4.5999999999999996"/>
    <n v="2023"/>
    <s v="Tuesday"/>
    <x v="1"/>
    <n v="5"/>
  </r>
  <r>
    <s v="Call_7365"/>
    <s v="C0005"/>
    <n v="132"/>
    <x v="1"/>
    <d v="2023-02-07T00:00:00"/>
    <x v="57"/>
    <n v="4.5999999999999996"/>
    <n v="2023"/>
    <s v="Tuesday"/>
    <x v="1"/>
    <n v="5"/>
  </r>
  <r>
    <s v="Call_7366"/>
    <s v="C0006"/>
    <n v="60"/>
    <x v="0"/>
    <d v="2023-02-08T00:00:00"/>
    <x v="8"/>
    <n v="4.3"/>
    <n v="2023"/>
    <s v="Wednesday"/>
    <x v="2"/>
    <n v="4"/>
  </r>
  <r>
    <s v="Call_7367"/>
    <s v="C0012"/>
    <n v="95"/>
    <x v="1"/>
    <d v="2023-02-08T00:00:00"/>
    <x v="58"/>
    <n v="5"/>
    <n v="2023"/>
    <s v="Wednesday"/>
    <x v="0"/>
    <n v="5"/>
  </r>
  <r>
    <s v="Call_7368"/>
    <s v="C0003"/>
    <n v="96"/>
    <x v="4"/>
    <d v="2023-02-08T00:00:00"/>
    <x v="31"/>
    <n v="4"/>
    <n v="2023"/>
    <s v="Wednesday"/>
    <x v="0"/>
    <n v="4"/>
  </r>
  <r>
    <s v="Call_7369"/>
    <s v="C0001"/>
    <n v="45"/>
    <x v="0"/>
    <d v="2023-02-09T00:00:00"/>
    <x v="59"/>
    <n v="4.5999999999999996"/>
    <n v="2023"/>
    <s v="Thursday"/>
    <x v="2"/>
    <n v="5"/>
  </r>
  <r>
    <s v="Call_7370"/>
    <s v="C0003"/>
    <n v="132"/>
    <x v="4"/>
    <d v="2023-02-10T00:00:00"/>
    <x v="54"/>
    <n v="4.5"/>
    <n v="2023"/>
    <s v="Friday"/>
    <x v="1"/>
    <n v="5"/>
  </r>
  <r>
    <s v="Call_7371"/>
    <s v="C0013"/>
    <n v="95"/>
    <x v="0"/>
    <d v="2023-02-10T00:00:00"/>
    <x v="2"/>
    <n v="4.5999999999999996"/>
    <n v="2023"/>
    <s v="Friday"/>
    <x v="0"/>
    <n v="5"/>
  </r>
  <r>
    <s v="Call_7372"/>
    <s v="C0012"/>
    <n v="131"/>
    <x v="2"/>
    <d v="2023-02-10T00:00:00"/>
    <x v="60"/>
    <n v="2.6"/>
    <n v="2023"/>
    <s v="Friday"/>
    <x v="1"/>
    <n v="3"/>
  </r>
  <r>
    <s v="Call_7373"/>
    <s v="C0009"/>
    <n v="67"/>
    <x v="3"/>
    <d v="2023-02-11T00:00:00"/>
    <x v="13"/>
    <n v="4.3"/>
    <n v="2023"/>
    <s v="Saturday"/>
    <x v="0"/>
    <n v="4"/>
  </r>
  <r>
    <s v="Call_7374"/>
    <s v="C0014"/>
    <n v="111"/>
    <x v="2"/>
    <d v="2023-02-12T00:00:00"/>
    <x v="57"/>
    <n v="3.9"/>
    <n v="2023"/>
    <s v="Sunday"/>
    <x v="0"/>
    <n v="4"/>
  </r>
  <r>
    <s v="Call_7375"/>
    <s v="C0005"/>
    <n v="78"/>
    <x v="1"/>
    <d v="2023-02-12T00:00:00"/>
    <x v="50"/>
    <n v="5"/>
    <n v="2023"/>
    <s v="Sunday"/>
    <x v="0"/>
    <n v="5"/>
  </r>
  <r>
    <s v="Call_7376"/>
    <s v="C0002"/>
    <n v="28"/>
    <x v="4"/>
    <d v="2023-02-12T00:00:00"/>
    <x v="61"/>
    <n v="3.5"/>
    <n v="2023"/>
    <s v="Sunday"/>
    <x v="3"/>
    <n v="4"/>
  </r>
  <r>
    <s v="Call_7377"/>
    <s v="C0004"/>
    <n v="127"/>
    <x v="3"/>
    <d v="2023-02-13T00:00:00"/>
    <x v="20"/>
    <n v="4.7"/>
    <n v="2023"/>
    <s v="Monday"/>
    <x v="1"/>
    <n v="5"/>
  </r>
  <r>
    <s v="Call_7378"/>
    <s v="C0015"/>
    <n v="137"/>
    <x v="2"/>
    <d v="2023-02-13T00:00:00"/>
    <x v="52"/>
    <n v="2.9"/>
    <n v="2023"/>
    <s v="Monday"/>
    <x v="1"/>
    <n v="3"/>
  </r>
  <r>
    <s v="Call_7379"/>
    <s v="C0004"/>
    <n v="76"/>
    <x v="4"/>
    <d v="2023-02-13T00:00:00"/>
    <x v="39"/>
    <n v="3.4"/>
    <n v="2023"/>
    <s v="Monday"/>
    <x v="0"/>
    <n v="3"/>
  </r>
  <r>
    <s v="Call_7380"/>
    <s v="C0005"/>
    <n v="80"/>
    <x v="3"/>
    <d v="2023-02-14T00:00:00"/>
    <x v="34"/>
    <n v="3.2"/>
    <n v="2023"/>
    <s v="Tuesday"/>
    <x v="0"/>
    <n v="3"/>
  </r>
  <r>
    <s v="Call_7381"/>
    <s v="C0004"/>
    <n v="95"/>
    <x v="1"/>
    <d v="2023-02-15T00:00:00"/>
    <x v="31"/>
    <n v="4.8"/>
    <n v="2023"/>
    <s v="Wednesday"/>
    <x v="0"/>
    <n v="5"/>
  </r>
  <r>
    <s v="Call_7382"/>
    <s v="C0006"/>
    <n v="30"/>
    <x v="4"/>
    <d v="2023-02-15T00:00:00"/>
    <x v="7"/>
    <n v="3.6"/>
    <n v="2023"/>
    <s v="Wednesday"/>
    <x v="3"/>
    <n v="4"/>
  </r>
  <r>
    <s v="Call_7383"/>
    <s v="C0011"/>
    <n v="19"/>
    <x v="2"/>
    <d v="2023-02-15T00:00:00"/>
    <x v="15"/>
    <n v="4.9000000000000004"/>
    <n v="2023"/>
    <s v="Wednesday"/>
    <x v="3"/>
    <n v="5"/>
  </r>
  <r>
    <s v="Call_7384"/>
    <s v="C0010"/>
    <n v="38"/>
    <x v="3"/>
    <d v="2023-02-15T00:00:00"/>
    <x v="62"/>
    <n v="4.8"/>
    <n v="2023"/>
    <s v="Wednesday"/>
    <x v="2"/>
    <n v="5"/>
  </r>
  <r>
    <s v="Call_7385"/>
    <s v="C0013"/>
    <n v="55"/>
    <x v="2"/>
    <d v="2023-02-15T00:00:00"/>
    <x v="50"/>
    <n v="3.6"/>
    <n v="2023"/>
    <s v="Wednesday"/>
    <x v="2"/>
    <n v="4"/>
  </r>
  <r>
    <s v="Call_7386"/>
    <s v="C0009"/>
    <n v="27"/>
    <x v="4"/>
    <d v="2023-02-16T00:00:00"/>
    <x v="63"/>
    <n v="3.9"/>
    <n v="2023"/>
    <s v="Thursday"/>
    <x v="3"/>
    <n v="4"/>
  </r>
  <r>
    <s v="Call_7387"/>
    <s v="C0009"/>
    <n v="32"/>
    <x v="4"/>
    <d v="2023-02-16T00:00:00"/>
    <x v="64"/>
    <n v="1.9"/>
    <n v="2023"/>
    <s v="Thursday"/>
    <x v="2"/>
    <n v="2"/>
  </r>
  <r>
    <s v="Call_7388"/>
    <s v="C0002"/>
    <n v="116"/>
    <x v="0"/>
    <d v="2023-02-16T00:00:00"/>
    <x v="21"/>
    <n v="3.6"/>
    <n v="2023"/>
    <s v="Thursday"/>
    <x v="0"/>
    <n v="4"/>
  </r>
  <r>
    <s v="Call_7389"/>
    <s v="C0003"/>
    <n v="99"/>
    <x v="1"/>
    <d v="2023-02-16T00:00:00"/>
    <x v="38"/>
    <n v="4.0999999999999996"/>
    <n v="2023"/>
    <s v="Thursday"/>
    <x v="0"/>
    <n v="4"/>
  </r>
  <r>
    <s v="Call_7390"/>
    <s v="C0004"/>
    <n v="75"/>
    <x v="4"/>
    <d v="2023-02-17T00:00:00"/>
    <x v="65"/>
    <n v="4.2"/>
    <n v="2023"/>
    <s v="Friday"/>
    <x v="0"/>
    <n v="4"/>
  </r>
  <r>
    <s v="Call_7391"/>
    <s v="C0005"/>
    <n v="57"/>
    <x v="0"/>
    <d v="2023-02-17T00:00:00"/>
    <x v="66"/>
    <n v="4.3"/>
    <n v="2023"/>
    <s v="Friday"/>
    <x v="2"/>
    <n v="4"/>
  </r>
  <r>
    <s v="Call_7392"/>
    <s v="C0007"/>
    <n v="155"/>
    <x v="0"/>
    <d v="2023-02-18T00:00:00"/>
    <x v="67"/>
    <n v="2.2000000000000002"/>
    <n v="2023"/>
    <s v="Saturday"/>
    <x v="1"/>
    <n v="2"/>
  </r>
  <r>
    <s v="Call_7393"/>
    <s v="C0003"/>
    <n v="68"/>
    <x v="1"/>
    <d v="2023-02-18T00:00:00"/>
    <x v="3"/>
    <n v="3.3"/>
    <n v="2023"/>
    <s v="Saturday"/>
    <x v="0"/>
    <n v="3"/>
  </r>
  <r>
    <s v="Call_7394"/>
    <s v="C0010"/>
    <n v="95"/>
    <x v="1"/>
    <d v="2023-02-18T00:00:00"/>
    <x v="68"/>
    <n v="4.8"/>
    <n v="2023"/>
    <s v="Saturday"/>
    <x v="0"/>
    <n v="5"/>
  </r>
  <r>
    <s v="Call_7395"/>
    <s v="C0015"/>
    <n v="65"/>
    <x v="0"/>
    <d v="2023-02-19T00:00:00"/>
    <x v="24"/>
    <n v="4"/>
    <n v="2023"/>
    <s v="Sunday"/>
    <x v="0"/>
    <n v="4"/>
  </r>
  <r>
    <s v="Call_7396"/>
    <s v="C0011"/>
    <n v="114"/>
    <x v="2"/>
    <d v="2023-02-19T00:00:00"/>
    <x v="48"/>
    <n v="1.1000000000000001"/>
    <n v="2023"/>
    <s v="Sunday"/>
    <x v="0"/>
    <n v="1"/>
  </r>
  <r>
    <s v="Call_7397"/>
    <s v="C0004"/>
    <n v="155"/>
    <x v="2"/>
    <d v="2023-02-20T00:00:00"/>
    <x v="24"/>
    <n v="3.9"/>
    <n v="2023"/>
    <s v="Monday"/>
    <x v="1"/>
    <n v="4"/>
  </r>
  <r>
    <s v="Call_7398"/>
    <s v="C0015"/>
    <n v="114"/>
    <x v="0"/>
    <d v="2023-02-21T00:00:00"/>
    <x v="31"/>
    <n v="1.8"/>
    <n v="2023"/>
    <s v="Tuesday"/>
    <x v="0"/>
    <n v="2"/>
  </r>
  <r>
    <s v="Call_7399"/>
    <s v="C0007"/>
    <n v="130"/>
    <x v="3"/>
    <d v="2023-02-21T00:00:00"/>
    <x v="69"/>
    <n v="1"/>
    <n v="2023"/>
    <s v="Tuesday"/>
    <x v="1"/>
    <n v="1"/>
  </r>
  <r>
    <s v="Call_7400"/>
    <s v="C0004"/>
    <n v="89"/>
    <x v="0"/>
    <d v="2023-02-21T00:00:00"/>
    <x v="44"/>
    <n v="4.3"/>
    <n v="2023"/>
    <s v="Tuesday"/>
    <x v="0"/>
    <n v="4"/>
  </r>
  <r>
    <s v="Call_7401"/>
    <s v="C0001"/>
    <n v="61"/>
    <x v="4"/>
    <d v="2023-02-22T00:00:00"/>
    <x v="21"/>
    <n v="3.4"/>
    <n v="2023"/>
    <s v="Wednesday"/>
    <x v="0"/>
    <n v="3"/>
  </r>
  <r>
    <s v="Call_7402"/>
    <s v="C0010"/>
    <n v="154"/>
    <x v="2"/>
    <d v="2023-02-22T00:00:00"/>
    <x v="3"/>
    <n v="3.4"/>
    <n v="2023"/>
    <s v="Wednesday"/>
    <x v="1"/>
    <n v="3"/>
  </r>
  <r>
    <s v="Call_7403"/>
    <s v="C0015"/>
    <n v="115"/>
    <x v="3"/>
    <d v="2023-02-23T00:00:00"/>
    <x v="69"/>
    <n v="4.0999999999999996"/>
    <n v="2023"/>
    <s v="Thursday"/>
    <x v="0"/>
    <n v="4"/>
  </r>
  <r>
    <s v="Call_7404"/>
    <s v="C0008"/>
    <n v="138"/>
    <x v="1"/>
    <d v="2023-02-24T00:00:00"/>
    <x v="56"/>
    <n v="4.8"/>
    <n v="2023"/>
    <s v="Friday"/>
    <x v="1"/>
    <n v="5"/>
  </r>
  <r>
    <s v="Call_7405"/>
    <s v="C0014"/>
    <n v="153"/>
    <x v="0"/>
    <d v="2023-02-24T00:00:00"/>
    <x v="70"/>
    <n v="2"/>
    <n v="2023"/>
    <s v="Friday"/>
    <x v="1"/>
    <n v="2"/>
  </r>
  <r>
    <s v="Call_7406"/>
    <s v="C0015"/>
    <n v="61"/>
    <x v="4"/>
    <d v="2023-02-25T00:00:00"/>
    <x v="69"/>
    <n v="4.5999999999999996"/>
    <n v="2023"/>
    <s v="Saturday"/>
    <x v="0"/>
    <n v="5"/>
  </r>
  <r>
    <s v="Call_7407"/>
    <s v="C0009"/>
    <n v="62"/>
    <x v="0"/>
    <d v="2023-02-25T00:00:00"/>
    <x v="65"/>
    <n v="2.6"/>
    <n v="2023"/>
    <s v="Saturday"/>
    <x v="0"/>
    <n v="3"/>
  </r>
  <r>
    <s v="Call_7408"/>
    <s v="C0001"/>
    <n v="151"/>
    <x v="3"/>
    <d v="2023-02-26T00:00:00"/>
    <x v="9"/>
    <n v="4.9000000000000004"/>
    <n v="2023"/>
    <s v="Sunday"/>
    <x v="1"/>
    <n v="5"/>
  </r>
  <r>
    <s v="Call_7409"/>
    <s v="C0012"/>
    <n v="102"/>
    <x v="2"/>
    <d v="2023-02-26T00:00:00"/>
    <x v="20"/>
    <n v="2.7"/>
    <n v="2023"/>
    <s v="Sunday"/>
    <x v="0"/>
    <n v="3"/>
  </r>
  <r>
    <s v="Call_7410"/>
    <s v="C0006"/>
    <n v="64"/>
    <x v="0"/>
    <d v="2023-02-26T00:00:00"/>
    <x v="59"/>
    <n v="4.0999999999999996"/>
    <n v="2023"/>
    <s v="Sunday"/>
    <x v="0"/>
    <n v="4"/>
  </r>
  <r>
    <s v="Call_7411"/>
    <s v="C0004"/>
    <n v="6"/>
    <x v="2"/>
    <d v="2023-02-27T00:00:00"/>
    <x v="71"/>
    <n v="4.4000000000000004"/>
    <n v="2023"/>
    <s v="Monday"/>
    <x v="4"/>
    <n v="4"/>
  </r>
  <r>
    <s v="Call_7412"/>
    <s v="C0006"/>
    <n v="129"/>
    <x v="0"/>
    <d v="2023-02-27T00:00:00"/>
    <x v="67"/>
    <n v="4.8"/>
    <n v="2023"/>
    <s v="Monday"/>
    <x v="1"/>
    <n v="5"/>
  </r>
  <r>
    <s v="Call_7413"/>
    <s v="C0009"/>
    <n v="42"/>
    <x v="3"/>
    <d v="2023-02-28T00:00:00"/>
    <x v="22"/>
    <n v="3"/>
    <n v="2023"/>
    <s v="Tuesday"/>
    <x v="2"/>
    <n v="3"/>
  </r>
  <r>
    <s v="Call_7414"/>
    <s v="C0009"/>
    <n v="71"/>
    <x v="4"/>
    <d v="2023-02-28T00:00:00"/>
    <x v="72"/>
    <n v="3.1"/>
    <n v="2023"/>
    <s v="Tuesday"/>
    <x v="0"/>
    <n v="3"/>
  </r>
  <r>
    <s v="Call_7415"/>
    <s v="C0005"/>
    <n v="53"/>
    <x v="2"/>
    <d v="2023-02-28T00:00:00"/>
    <x v="24"/>
    <n v="2.6"/>
    <n v="2023"/>
    <s v="Tuesday"/>
    <x v="2"/>
    <n v="3"/>
  </r>
  <r>
    <s v="Call_7416"/>
    <s v="C0011"/>
    <n v="155"/>
    <x v="4"/>
    <d v="2023-03-01T00:00:00"/>
    <x v="32"/>
    <n v="4.5999999999999996"/>
    <n v="2023"/>
    <s v="Wednesday"/>
    <x v="1"/>
    <n v="5"/>
  </r>
  <r>
    <s v="Call_7417"/>
    <s v="C0011"/>
    <n v="90"/>
    <x v="3"/>
    <d v="2023-03-01T00:00:00"/>
    <x v="16"/>
    <n v="3.7"/>
    <n v="2023"/>
    <s v="Wednesday"/>
    <x v="0"/>
    <n v="4"/>
  </r>
  <r>
    <s v="Call_7418"/>
    <s v="C0006"/>
    <n v="166"/>
    <x v="1"/>
    <d v="2023-03-01T00:00:00"/>
    <x v="73"/>
    <n v="3.8"/>
    <n v="2023"/>
    <s v="Wednesday"/>
    <x v="1"/>
    <n v="4"/>
  </r>
  <r>
    <s v="Call_7419"/>
    <s v="C0002"/>
    <n v="89"/>
    <x v="4"/>
    <d v="2023-03-01T00:00:00"/>
    <x v="41"/>
    <n v="3.6"/>
    <n v="2023"/>
    <s v="Wednesday"/>
    <x v="0"/>
    <n v="4"/>
  </r>
  <r>
    <s v="Call_7420"/>
    <s v="C0015"/>
    <n v="152"/>
    <x v="2"/>
    <d v="2023-03-01T00:00:00"/>
    <x v="46"/>
    <n v="4.4000000000000004"/>
    <n v="2023"/>
    <s v="Wednesday"/>
    <x v="1"/>
    <n v="4"/>
  </r>
  <r>
    <s v="Call_7421"/>
    <s v="C0002"/>
    <n v="137"/>
    <x v="3"/>
    <d v="2023-03-01T00:00:00"/>
    <x v="74"/>
    <n v="3.2"/>
    <n v="2023"/>
    <s v="Wednesday"/>
    <x v="1"/>
    <n v="3"/>
  </r>
  <r>
    <s v="Call_7422"/>
    <s v="C0002"/>
    <n v="43"/>
    <x v="3"/>
    <d v="2023-03-01T00:00:00"/>
    <x v="51"/>
    <n v="4.7"/>
    <n v="2023"/>
    <s v="Wednesday"/>
    <x v="2"/>
    <n v="5"/>
  </r>
  <r>
    <s v="Call_7423"/>
    <s v="C0010"/>
    <n v="114"/>
    <x v="3"/>
    <d v="2023-03-02T00:00:00"/>
    <x v="50"/>
    <n v="4.8"/>
    <n v="2023"/>
    <s v="Thursday"/>
    <x v="0"/>
    <n v="5"/>
  </r>
  <r>
    <s v="Call_7424"/>
    <s v="C0014"/>
    <n v="103"/>
    <x v="4"/>
    <d v="2023-03-02T00:00:00"/>
    <x v="75"/>
    <n v="2.7"/>
    <n v="2023"/>
    <s v="Thursday"/>
    <x v="0"/>
    <n v="3"/>
  </r>
  <r>
    <s v="Call_7425"/>
    <s v="C0002"/>
    <n v="98"/>
    <x v="2"/>
    <d v="2023-03-02T00:00:00"/>
    <x v="62"/>
    <n v="3.8"/>
    <n v="2023"/>
    <s v="Thursday"/>
    <x v="0"/>
    <n v="4"/>
  </r>
  <r>
    <s v="Call_7426"/>
    <s v="C0006"/>
    <n v="106"/>
    <x v="1"/>
    <d v="2023-03-02T00:00:00"/>
    <x v="10"/>
    <n v="4.3"/>
    <n v="2023"/>
    <s v="Thursday"/>
    <x v="0"/>
    <n v="4"/>
  </r>
  <r>
    <s v="Call_7427"/>
    <s v="C0004"/>
    <n v="96"/>
    <x v="1"/>
    <d v="2023-03-02T00:00:00"/>
    <x v="10"/>
    <n v="5"/>
    <n v="2023"/>
    <s v="Thursday"/>
    <x v="0"/>
    <n v="5"/>
  </r>
  <r>
    <s v="Call_7428"/>
    <s v="C0014"/>
    <n v="70"/>
    <x v="1"/>
    <d v="2023-03-02T00:00:00"/>
    <x v="15"/>
    <n v="4.8"/>
    <n v="2023"/>
    <s v="Thursday"/>
    <x v="0"/>
    <n v="5"/>
  </r>
  <r>
    <s v="Call_7429"/>
    <s v="C0009"/>
    <n v="86"/>
    <x v="0"/>
    <d v="2023-03-03T00:00:00"/>
    <x v="63"/>
    <n v="4.9000000000000004"/>
    <n v="2023"/>
    <s v="Friday"/>
    <x v="0"/>
    <n v="5"/>
  </r>
  <r>
    <s v="Call_7430"/>
    <s v="C0005"/>
    <n v="64"/>
    <x v="0"/>
    <d v="2023-03-03T00:00:00"/>
    <x v="60"/>
    <n v="4.0999999999999996"/>
    <n v="2023"/>
    <s v="Friday"/>
    <x v="0"/>
    <n v="4"/>
  </r>
  <r>
    <s v="Call_7431"/>
    <s v="C0004"/>
    <n v="113"/>
    <x v="2"/>
    <d v="2023-03-03T00:00:00"/>
    <x v="26"/>
    <n v="4.4000000000000004"/>
    <n v="2023"/>
    <s v="Friday"/>
    <x v="0"/>
    <n v="4"/>
  </r>
  <r>
    <s v="Call_7432"/>
    <s v="C0004"/>
    <n v="21"/>
    <x v="1"/>
    <d v="2023-03-03T00:00:00"/>
    <x v="76"/>
    <n v="3.4"/>
    <n v="2023"/>
    <s v="Friday"/>
    <x v="3"/>
    <n v="3"/>
  </r>
  <r>
    <s v="Call_7433"/>
    <s v="C0012"/>
    <n v="107"/>
    <x v="0"/>
    <d v="2023-03-03T00:00:00"/>
    <x v="2"/>
    <n v="4"/>
    <n v="2023"/>
    <s v="Friday"/>
    <x v="0"/>
    <n v="4"/>
  </r>
  <r>
    <s v="Call_7434"/>
    <s v="C0012"/>
    <n v="131"/>
    <x v="1"/>
    <d v="2023-03-03T00:00:00"/>
    <x v="77"/>
    <n v="2.4"/>
    <n v="2023"/>
    <s v="Friday"/>
    <x v="1"/>
    <n v="2"/>
  </r>
  <r>
    <s v="Call_7435"/>
    <s v="C0003"/>
    <n v="11"/>
    <x v="4"/>
    <d v="2023-03-03T00:00:00"/>
    <x v="78"/>
    <n v="2.1"/>
    <n v="2023"/>
    <s v="Friday"/>
    <x v="3"/>
    <n v="2"/>
  </r>
  <r>
    <s v="Call_7436"/>
    <s v="C0001"/>
    <n v="86"/>
    <x v="2"/>
    <d v="2023-03-03T00:00:00"/>
    <x v="12"/>
    <n v="3"/>
    <n v="2023"/>
    <s v="Friday"/>
    <x v="0"/>
    <n v="3"/>
  </r>
  <r>
    <s v="Call_7437"/>
    <s v="C0005"/>
    <n v="28"/>
    <x v="4"/>
    <d v="2023-03-03T00:00:00"/>
    <x v="59"/>
    <n v="3.2"/>
    <n v="2023"/>
    <s v="Friday"/>
    <x v="3"/>
    <n v="3"/>
  </r>
  <r>
    <s v="Call_7438"/>
    <s v="C0011"/>
    <n v="139"/>
    <x v="1"/>
    <d v="2023-03-04T00:00:00"/>
    <x v="66"/>
    <n v="3.4"/>
    <n v="2023"/>
    <s v="Saturday"/>
    <x v="1"/>
    <n v="3"/>
  </r>
  <r>
    <s v="Call_7439"/>
    <s v="C0006"/>
    <n v="82"/>
    <x v="2"/>
    <d v="2023-03-04T00:00:00"/>
    <x v="76"/>
    <n v="2.7"/>
    <n v="2023"/>
    <s v="Saturday"/>
    <x v="0"/>
    <n v="3"/>
  </r>
  <r>
    <s v="Call_7440"/>
    <s v="C0004"/>
    <n v="101"/>
    <x v="4"/>
    <d v="2023-03-04T00:00:00"/>
    <x v="0"/>
    <n v="5"/>
    <n v="2023"/>
    <s v="Saturday"/>
    <x v="0"/>
    <n v="5"/>
  </r>
  <r>
    <s v="Call_7441"/>
    <s v="C0005"/>
    <n v="75"/>
    <x v="3"/>
    <d v="2023-03-04T00:00:00"/>
    <x v="45"/>
    <n v="3.4"/>
    <n v="2023"/>
    <s v="Saturday"/>
    <x v="0"/>
    <n v="3"/>
  </r>
  <r>
    <s v="Call_7442"/>
    <s v="C0010"/>
    <n v="40"/>
    <x v="4"/>
    <d v="2023-03-05T00:00:00"/>
    <x v="19"/>
    <n v="4.7"/>
    <n v="2023"/>
    <s v="Sunday"/>
    <x v="2"/>
    <n v="5"/>
  </r>
  <r>
    <s v="Call_7443"/>
    <s v="C0002"/>
    <n v="86"/>
    <x v="1"/>
    <d v="2023-03-05T00:00:00"/>
    <x v="79"/>
    <n v="4.5"/>
    <n v="2023"/>
    <s v="Sunday"/>
    <x v="0"/>
    <n v="5"/>
  </r>
  <r>
    <s v="Call_7444"/>
    <s v="C0007"/>
    <n v="131"/>
    <x v="0"/>
    <d v="2023-03-05T00:00:00"/>
    <x v="21"/>
    <n v="4.0999999999999996"/>
    <n v="2023"/>
    <s v="Sunday"/>
    <x v="1"/>
    <n v="4"/>
  </r>
  <r>
    <s v="Call_7445"/>
    <s v="C0012"/>
    <n v="67"/>
    <x v="2"/>
    <d v="2023-03-05T00:00:00"/>
    <x v="45"/>
    <n v="5"/>
    <n v="2023"/>
    <s v="Sunday"/>
    <x v="0"/>
    <n v="5"/>
  </r>
  <r>
    <s v="Call_7446"/>
    <s v="C0008"/>
    <n v="71"/>
    <x v="4"/>
    <d v="2023-03-05T00:00:00"/>
    <x v="71"/>
    <n v="4.7"/>
    <n v="2023"/>
    <s v="Sunday"/>
    <x v="0"/>
    <n v="5"/>
  </r>
  <r>
    <s v="Call_7447"/>
    <s v="C0007"/>
    <n v="113"/>
    <x v="0"/>
    <d v="2023-03-05T00:00:00"/>
    <x v="28"/>
    <n v="4.2"/>
    <n v="2023"/>
    <s v="Sunday"/>
    <x v="0"/>
    <n v="4"/>
  </r>
  <r>
    <s v="Call_7448"/>
    <s v="C0006"/>
    <n v="53"/>
    <x v="1"/>
    <d v="2023-03-06T00:00:00"/>
    <x v="80"/>
    <n v="3.9"/>
    <n v="2023"/>
    <s v="Monday"/>
    <x v="2"/>
    <n v="4"/>
  </r>
  <r>
    <s v="Call_7449"/>
    <s v="C0007"/>
    <n v="153"/>
    <x v="2"/>
    <d v="2023-03-06T00:00:00"/>
    <x v="52"/>
    <n v="3"/>
    <n v="2023"/>
    <s v="Monday"/>
    <x v="1"/>
    <n v="3"/>
  </r>
  <r>
    <s v="Call_7450"/>
    <s v="C0012"/>
    <n v="73"/>
    <x v="3"/>
    <d v="2023-03-06T00:00:00"/>
    <x v="46"/>
    <n v="3.6"/>
    <n v="2023"/>
    <s v="Monday"/>
    <x v="0"/>
    <n v="4"/>
  </r>
  <r>
    <s v="Call_7451"/>
    <s v="C0009"/>
    <n v="62"/>
    <x v="3"/>
    <d v="2023-03-06T00:00:00"/>
    <x v="37"/>
    <n v="0.7"/>
    <n v="2023"/>
    <s v="Monday"/>
    <x v="0"/>
    <n v="1"/>
  </r>
  <r>
    <s v="Call_7452"/>
    <s v="C0011"/>
    <n v="115"/>
    <x v="1"/>
    <d v="2023-03-07T00:00:00"/>
    <x v="43"/>
    <n v="4.7"/>
    <n v="2023"/>
    <s v="Tuesday"/>
    <x v="0"/>
    <n v="5"/>
  </r>
  <r>
    <s v="Call_7453"/>
    <s v="C0007"/>
    <n v="69"/>
    <x v="1"/>
    <d v="2023-03-07T00:00:00"/>
    <x v="32"/>
    <n v="4.5"/>
    <n v="2023"/>
    <s v="Tuesday"/>
    <x v="0"/>
    <n v="5"/>
  </r>
  <r>
    <s v="Call_7454"/>
    <s v="C0002"/>
    <n v="103"/>
    <x v="0"/>
    <d v="2023-03-07T00:00:00"/>
    <x v="60"/>
    <n v="4.3"/>
    <n v="2023"/>
    <s v="Tuesday"/>
    <x v="0"/>
    <n v="4"/>
  </r>
  <r>
    <s v="Call_7455"/>
    <s v="C0002"/>
    <n v="75"/>
    <x v="0"/>
    <d v="2023-03-07T00:00:00"/>
    <x v="22"/>
    <n v="3.4"/>
    <n v="2023"/>
    <s v="Tuesday"/>
    <x v="0"/>
    <n v="3"/>
  </r>
  <r>
    <s v="Call_7456"/>
    <s v="C0013"/>
    <n v="92"/>
    <x v="0"/>
    <d v="2023-03-07T00:00:00"/>
    <x v="81"/>
    <n v="3.6"/>
    <n v="2023"/>
    <s v="Tuesday"/>
    <x v="0"/>
    <n v="4"/>
  </r>
  <r>
    <s v="Call_7457"/>
    <s v="C0013"/>
    <n v="41"/>
    <x v="3"/>
    <d v="2023-03-07T00:00:00"/>
    <x v="12"/>
    <n v="4"/>
    <n v="2023"/>
    <s v="Tuesday"/>
    <x v="2"/>
    <n v="4"/>
  </r>
  <r>
    <s v="Call_7458"/>
    <s v="C0002"/>
    <n v="134"/>
    <x v="2"/>
    <d v="2023-03-07T00:00:00"/>
    <x v="42"/>
    <n v="4.5"/>
    <n v="2023"/>
    <s v="Tuesday"/>
    <x v="1"/>
    <n v="5"/>
  </r>
  <r>
    <s v="Call_7459"/>
    <s v="C0001"/>
    <n v="80"/>
    <x v="4"/>
    <d v="2023-03-07T00:00:00"/>
    <x v="82"/>
    <n v="3"/>
    <n v="2023"/>
    <s v="Tuesday"/>
    <x v="0"/>
    <n v="3"/>
  </r>
  <r>
    <s v="Call_7460"/>
    <s v="C0008"/>
    <n v="103"/>
    <x v="1"/>
    <d v="2023-03-08T00:00:00"/>
    <x v="83"/>
    <n v="3"/>
    <n v="2023"/>
    <s v="Wednesday"/>
    <x v="0"/>
    <n v="3"/>
  </r>
  <r>
    <s v="Call_7461"/>
    <s v="C0006"/>
    <n v="20"/>
    <x v="0"/>
    <d v="2023-03-09T00:00:00"/>
    <x v="3"/>
    <n v="1.6"/>
    <n v="2023"/>
    <s v="Thursday"/>
    <x v="3"/>
    <n v="2"/>
  </r>
  <r>
    <s v="Call_7462"/>
    <s v="C0008"/>
    <n v="75"/>
    <x v="4"/>
    <d v="2023-03-09T00:00:00"/>
    <x v="14"/>
    <n v="3"/>
    <n v="2023"/>
    <s v="Thursday"/>
    <x v="0"/>
    <n v="3"/>
  </r>
  <r>
    <s v="Call_7463"/>
    <s v="C0013"/>
    <n v="80"/>
    <x v="2"/>
    <d v="2023-03-09T00:00:00"/>
    <x v="35"/>
    <n v="3.7"/>
    <n v="2023"/>
    <s v="Thursday"/>
    <x v="0"/>
    <n v="4"/>
  </r>
  <r>
    <s v="Call_7464"/>
    <s v="C0007"/>
    <n v="85"/>
    <x v="3"/>
    <d v="2023-03-10T00:00:00"/>
    <x v="9"/>
    <n v="4.9000000000000004"/>
    <n v="2023"/>
    <s v="Friday"/>
    <x v="0"/>
    <n v="5"/>
  </r>
  <r>
    <s v="Call_7465"/>
    <s v="C0004"/>
    <n v="155"/>
    <x v="0"/>
    <d v="2023-03-10T00:00:00"/>
    <x v="84"/>
    <n v="3.4"/>
    <n v="2023"/>
    <s v="Friday"/>
    <x v="1"/>
    <n v="3"/>
  </r>
  <r>
    <s v="Call_7466"/>
    <s v="C0007"/>
    <n v="63"/>
    <x v="3"/>
    <d v="2023-03-10T00:00:00"/>
    <x v="43"/>
    <n v="5"/>
    <n v="2023"/>
    <s v="Friday"/>
    <x v="0"/>
    <n v="5"/>
  </r>
  <r>
    <s v="Call_7467"/>
    <s v="C0005"/>
    <n v="105"/>
    <x v="1"/>
    <d v="2023-03-10T00:00:00"/>
    <x v="11"/>
    <n v="5"/>
    <n v="2023"/>
    <s v="Friday"/>
    <x v="0"/>
    <n v="5"/>
  </r>
  <r>
    <s v="Call_7468"/>
    <s v="C0007"/>
    <n v="71"/>
    <x v="3"/>
    <d v="2023-03-10T00:00:00"/>
    <x v="7"/>
    <n v="4"/>
    <n v="2023"/>
    <s v="Friday"/>
    <x v="0"/>
    <n v="4"/>
  </r>
  <r>
    <s v="Call_7469"/>
    <s v="C0004"/>
    <n v="100"/>
    <x v="3"/>
    <d v="2023-03-11T00:00:00"/>
    <x v="85"/>
    <n v="3.6"/>
    <n v="2023"/>
    <s v="Saturday"/>
    <x v="0"/>
    <n v="4"/>
  </r>
  <r>
    <s v="Call_7470"/>
    <s v="C0003"/>
    <n v="93"/>
    <x v="2"/>
    <d v="2023-03-11T00:00:00"/>
    <x v="32"/>
    <n v="3.7"/>
    <n v="2023"/>
    <s v="Saturday"/>
    <x v="0"/>
    <n v="4"/>
  </r>
  <r>
    <s v="Call_7471"/>
    <s v="C0005"/>
    <n v="84"/>
    <x v="0"/>
    <d v="2023-03-11T00:00:00"/>
    <x v="48"/>
    <n v="4.2"/>
    <n v="2023"/>
    <s v="Saturday"/>
    <x v="0"/>
    <n v="4"/>
  </r>
  <r>
    <s v="Call_7472"/>
    <s v="C0001"/>
    <n v="56"/>
    <x v="4"/>
    <d v="2023-03-11T00:00:00"/>
    <x v="86"/>
    <n v="2.1"/>
    <n v="2023"/>
    <s v="Saturday"/>
    <x v="2"/>
    <n v="2"/>
  </r>
  <r>
    <s v="Call_7473"/>
    <s v="C0001"/>
    <n v="63"/>
    <x v="3"/>
    <d v="2023-03-11T00:00:00"/>
    <x v="28"/>
    <n v="4"/>
    <n v="2023"/>
    <s v="Saturday"/>
    <x v="0"/>
    <n v="4"/>
  </r>
  <r>
    <s v="Call_7474"/>
    <s v="C0009"/>
    <n v="83"/>
    <x v="3"/>
    <d v="2023-03-11T00:00:00"/>
    <x v="28"/>
    <n v="4.2"/>
    <n v="2023"/>
    <s v="Saturday"/>
    <x v="0"/>
    <n v="4"/>
  </r>
  <r>
    <s v="Call_7475"/>
    <s v="C0013"/>
    <n v="134"/>
    <x v="0"/>
    <d v="2023-03-11T00:00:00"/>
    <x v="67"/>
    <n v="3.1"/>
    <n v="2023"/>
    <s v="Saturday"/>
    <x v="1"/>
    <n v="3"/>
  </r>
  <r>
    <s v="Call_7476"/>
    <s v="C0011"/>
    <n v="73"/>
    <x v="3"/>
    <d v="2023-03-12T00:00:00"/>
    <x v="52"/>
    <n v="4.8"/>
    <n v="2023"/>
    <s v="Sunday"/>
    <x v="0"/>
    <n v="5"/>
  </r>
  <r>
    <s v="Call_7477"/>
    <s v="C0008"/>
    <n v="6"/>
    <x v="4"/>
    <d v="2023-03-12T00:00:00"/>
    <x v="87"/>
    <n v="4.7"/>
    <n v="2023"/>
    <s v="Sunday"/>
    <x v="4"/>
    <n v="5"/>
  </r>
  <r>
    <s v="Call_7478"/>
    <s v="C0012"/>
    <n v="46"/>
    <x v="1"/>
    <d v="2023-03-12T00:00:00"/>
    <x v="20"/>
    <n v="3.3"/>
    <n v="2023"/>
    <s v="Sunday"/>
    <x v="2"/>
    <n v="3"/>
  </r>
  <r>
    <s v="Call_7479"/>
    <s v="C0008"/>
    <n v="121"/>
    <x v="3"/>
    <d v="2023-03-13T00:00:00"/>
    <x v="37"/>
    <n v="3.7"/>
    <n v="2023"/>
    <s v="Monday"/>
    <x v="1"/>
    <n v="4"/>
  </r>
  <r>
    <s v="Call_7480"/>
    <s v="C0001"/>
    <n v="61"/>
    <x v="2"/>
    <d v="2023-03-13T00:00:00"/>
    <x v="42"/>
    <n v="4.9000000000000004"/>
    <n v="2023"/>
    <s v="Monday"/>
    <x v="0"/>
    <n v="5"/>
  </r>
  <r>
    <s v="Call_7481"/>
    <s v="C0013"/>
    <n v="144"/>
    <x v="0"/>
    <d v="2023-03-13T00:00:00"/>
    <x v="21"/>
    <n v="3.5"/>
    <n v="2023"/>
    <s v="Monday"/>
    <x v="1"/>
    <n v="4"/>
  </r>
  <r>
    <s v="Call_7482"/>
    <s v="C0012"/>
    <n v="145"/>
    <x v="0"/>
    <d v="2023-03-13T00:00:00"/>
    <x v="40"/>
    <n v="4.4000000000000004"/>
    <n v="2023"/>
    <s v="Monday"/>
    <x v="1"/>
    <n v="4"/>
  </r>
  <r>
    <s v="Call_7483"/>
    <s v="C0005"/>
    <n v="85"/>
    <x v="4"/>
    <d v="2023-03-13T00:00:00"/>
    <x v="2"/>
    <n v="2.8"/>
    <n v="2023"/>
    <s v="Monday"/>
    <x v="0"/>
    <n v="3"/>
  </r>
  <r>
    <s v="Call_7484"/>
    <s v="C0012"/>
    <n v="13"/>
    <x v="2"/>
    <d v="2023-03-14T00:00:00"/>
    <x v="23"/>
    <n v="4.0999999999999996"/>
    <n v="2023"/>
    <s v="Tuesday"/>
    <x v="3"/>
    <n v="4"/>
  </r>
  <r>
    <s v="Call_7485"/>
    <s v="C0003"/>
    <n v="142"/>
    <x v="3"/>
    <d v="2023-03-14T00:00:00"/>
    <x v="85"/>
    <n v="3.5"/>
    <n v="2023"/>
    <s v="Tuesday"/>
    <x v="1"/>
    <n v="4"/>
  </r>
  <r>
    <s v="Call_7486"/>
    <s v="C0013"/>
    <n v="28"/>
    <x v="1"/>
    <d v="2023-03-14T00:00:00"/>
    <x v="38"/>
    <n v="3.8"/>
    <n v="2023"/>
    <s v="Tuesday"/>
    <x v="3"/>
    <n v="4"/>
  </r>
  <r>
    <s v="Call_7487"/>
    <s v="C0013"/>
    <n v="119"/>
    <x v="3"/>
    <d v="2023-03-14T00:00:00"/>
    <x v="88"/>
    <n v="3.9"/>
    <n v="2023"/>
    <s v="Tuesday"/>
    <x v="0"/>
    <n v="4"/>
  </r>
  <r>
    <s v="Call_7488"/>
    <s v="C0008"/>
    <n v="65"/>
    <x v="4"/>
    <d v="2023-03-14T00:00:00"/>
    <x v="59"/>
    <n v="2.5"/>
    <n v="2023"/>
    <s v="Tuesday"/>
    <x v="0"/>
    <n v="3"/>
  </r>
  <r>
    <s v="Call_7489"/>
    <s v="C0002"/>
    <n v="68"/>
    <x v="4"/>
    <d v="2023-03-14T00:00:00"/>
    <x v="37"/>
    <n v="4.9000000000000004"/>
    <n v="2023"/>
    <s v="Tuesday"/>
    <x v="0"/>
    <n v="5"/>
  </r>
  <r>
    <s v="Call_7490"/>
    <s v="C0009"/>
    <n v="72"/>
    <x v="1"/>
    <d v="2023-03-14T00:00:00"/>
    <x v="32"/>
    <n v="3.4"/>
    <n v="2023"/>
    <s v="Tuesday"/>
    <x v="0"/>
    <n v="3"/>
  </r>
  <r>
    <s v="Call_7491"/>
    <s v="C0009"/>
    <n v="63"/>
    <x v="0"/>
    <d v="2023-03-14T00:00:00"/>
    <x v="7"/>
    <n v="3.3"/>
    <n v="2023"/>
    <s v="Tuesday"/>
    <x v="0"/>
    <n v="3"/>
  </r>
  <r>
    <s v="Call_7492"/>
    <s v="C0004"/>
    <n v="139"/>
    <x v="3"/>
    <d v="2023-03-15T00:00:00"/>
    <x v="43"/>
    <n v="4.7"/>
    <n v="2023"/>
    <s v="Wednesday"/>
    <x v="1"/>
    <n v="5"/>
  </r>
  <r>
    <s v="Call_7493"/>
    <s v="C0013"/>
    <n v="59"/>
    <x v="3"/>
    <d v="2023-03-15T00:00:00"/>
    <x v="39"/>
    <n v="4"/>
    <n v="2023"/>
    <s v="Wednesday"/>
    <x v="2"/>
    <n v="4"/>
  </r>
  <r>
    <s v="Call_7494"/>
    <s v="C0006"/>
    <n v="138"/>
    <x v="0"/>
    <d v="2023-03-15T00:00:00"/>
    <x v="85"/>
    <n v="3.8"/>
    <n v="2023"/>
    <s v="Wednesday"/>
    <x v="1"/>
    <n v="4"/>
  </r>
  <r>
    <s v="Call_7495"/>
    <s v="C0004"/>
    <n v="47"/>
    <x v="1"/>
    <d v="2023-03-15T00:00:00"/>
    <x v="31"/>
    <n v="3.1"/>
    <n v="2023"/>
    <s v="Wednesday"/>
    <x v="2"/>
    <n v="3"/>
  </r>
  <r>
    <s v="Call_7496"/>
    <s v="C0006"/>
    <n v="74"/>
    <x v="1"/>
    <d v="2023-03-15T00:00:00"/>
    <x v="89"/>
    <n v="4.8"/>
    <n v="2023"/>
    <s v="Wednesday"/>
    <x v="0"/>
    <n v="5"/>
  </r>
  <r>
    <s v="Call_7497"/>
    <s v="C0009"/>
    <n v="65"/>
    <x v="1"/>
    <d v="2023-03-15T00:00:00"/>
    <x v="90"/>
    <n v="2.7"/>
    <n v="2023"/>
    <s v="Wednesday"/>
    <x v="0"/>
    <n v="3"/>
  </r>
  <r>
    <s v="Call_7498"/>
    <s v="C0011"/>
    <n v="123"/>
    <x v="4"/>
    <d v="2023-03-15T00:00:00"/>
    <x v="73"/>
    <n v="3.6"/>
    <n v="2023"/>
    <s v="Wednesday"/>
    <x v="1"/>
    <n v="4"/>
  </r>
  <r>
    <s v="Call_7499"/>
    <s v="C0009"/>
    <n v="90"/>
    <x v="3"/>
    <d v="2023-03-16T00:00:00"/>
    <x v="18"/>
    <n v="4.7"/>
    <n v="2023"/>
    <s v="Thursday"/>
    <x v="0"/>
    <n v="5"/>
  </r>
  <r>
    <s v="Call_7500"/>
    <s v="C0001"/>
    <n v="127"/>
    <x v="0"/>
    <d v="2023-03-16T00:00:00"/>
    <x v="69"/>
    <n v="4.4000000000000004"/>
    <n v="2023"/>
    <s v="Thursday"/>
    <x v="1"/>
    <n v="4"/>
  </r>
  <r>
    <s v="Call_7501"/>
    <s v="C0014"/>
    <n v="60"/>
    <x v="1"/>
    <d v="2023-03-16T00:00:00"/>
    <x v="12"/>
    <n v="4.3"/>
    <n v="2023"/>
    <s v="Thursday"/>
    <x v="2"/>
    <n v="4"/>
  </r>
  <r>
    <s v="Call_7502"/>
    <s v="C0004"/>
    <n v="94"/>
    <x v="0"/>
    <d v="2023-03-16T00:00:00"/>
    <x v="51"/>
    <n v="4.9000000000000004"/>
    <n v="2023"/>
    <s v="Thursday"/>
    <x v="0"/>
    <n v="5"/>
  </r>
  <r>
    <s v="Call_7503"/>
    <s v="C0011"/>
    <n v="54"/>
    <x v="1"/>
    <d v="2023-03-16T00:00:00"/>
    <x v="30"/>
    <n v="4.8"/>
    <n v="2023"/>
    <s v="Thursday"/>
    <x v="2"/>
    <n v="5"/>
  </r>
  <r>
    <s v="Call_7504"/>
    <s v="C0009"/>
    <n v="104"/>
    <x v="1"/>
    <d v="2023-03-16T00:00:00"/>
    <x v="66"/>
    <n v="3.2"/>
    <n v="2023"/>
    <s v="Thursday"/>
    <x v="0"/>
    <n v="3"/>
  </r>
  <r>
    <s v="Call_7505"/>
    <s v="C0007"/>
    <n v="100"/>
    <x v="1"/>
    <d v="2023-03-16T00:00:00"/>
    <x v="55"/>
    <n v="3.4"/>
    <n v="2023"/>
    <s v="Thursday"/>
    <x v="0"/>
    <n v="3"/>
  </r>
  <r>
    <s v="Call_7506"/>
    <s v="C0006"/>
    <n v="84"/>
    <x v="1"/>
    <d v="2023-03-16T00:00:00"/>
    <x v="18"/>
    <n v="3.5"/>
    <n v="2023"/>
    <s v="Thursday"/>
    <x v="0"/>
    <n v="4"/>
  </r>
  <r>
    <s v="Call_7507"/>
    <s v="C0003"/>
    <n v="92"/>
    <x v="2"/>
    <d v="2023-03-17T00:00:00"/>
    <x v="29"/>
    <n v="4.9000000000000004"/>
    <n v="2023"/>
    <s v="Friday"/>
    <x v="0"/>
    <n v="5"/>
  </r>
  <r>
    <s v="Call_7508"/>
    <s v="C0010"/>
    <n v="64"/>
    <x v="0"/>
    <d v="2023-03-17T00:00:00"/>
    <x v="3"/>
    <n v="4.0999999999999996"/>
    <n v="2023"/>
    <s v="Friday"/>
    <x v="0"/>
    <n v="4"/>
  </r>
  <r>
    <s v="Call_7509"/>
    <s v="C0005"/>
    <n v="89"/>
    <x v="3"/>
    <d v="2023-03-18T00:00:00"/>
    <x v="63"/>
    <n v="4.9000000000000004"/>
    <n v="2023"/>
    <s v="Saturday"/>
    <x v="0"/>
    <n v="5"/>
  </r>
  <r>
    <s v="Call_7510"/>
    <s v="C0015"/>
    <n v="40"/>
    <x v="1"/>
    <d v="2023-03-18T00:00:00"/>
    <x v="13"/>
    <n v="4.3"/>
    <n v="2023"/>
    <s v="Saturday"/>
    <x v="2"/>
    <n v="4"/>
  </r>
  <r>
    <s v="Call_7511"/>
    <s v="C0013"/>
    <n v="75"/>
    <x v="4"/>
    <d v="2023-03-18T00:00:00"/>
    <x v="37"/>
    <n v="4.0999999999999996"/>
    <n v="2023"/>
    <s v="Saturday"/>
    <x v="0"/>
    <n v="4"/>
  </r>
  <r>
    <s v="Call_7512"/>
    <s v="C0001"/>
    <n v="106"/>
    <x v="2"/>
    <d v="2023-03-18T00:00:00"/>
    <x v="54"/>
    <n v="4.4000000000000004"/>
    <n v="2023"/>
    <s v="Saturday"/>
    <x v="0"/>
    <n v="4"/>
  </r>
  <r>
    <s v="Call_7513"/>
    <s v="C0010"/>
    <n v="58"/>
    <x v="1"/>
    <d v="2023-03-19T00:00:00"/>
    <x v="57"/>
    <n v="4.5"/>
    <n v="2023"/>
    <s v="Sunday"/>
    <x v="2"/>
    <n v="5"/>
  </r>
  <r>
    <s v="Call_7514"/>
    <s v="C0006"/>
    <n v="84"/>
    <x v="2"/>
    <d v="2023-03-19T00:00:00"/>
    <x v="3"/>
    <n v="3.5"/>
    <n v="2023"/>
    <s v="Sunday"/>
    <x v="0"/>
    <n v="4"/>
  </r>
  <r>
    <s v="Call_7515"/>
    <s v="C0009"/>
    <n v="140"/>
    <x v="2"/>
    <d v="2023-03-19T00:00:00"/>
    <x v="76"/>
    <n v="4.4000000000000004"/>
    <n v="2023"/>
    <s v="Sunday"/>
    <x v="1"/>
    <n v="4"/>
  </r>
  <r>
    <s v="Call_7516"/>
    <s v="C0010"/>
    <n v="67"/>
    <x v="2"/>
    <d v="2023-03-19T00:00:00"/>
    <x v="82"/>
    <n v="3.5"/>
    <n v="2023"/>
    <s v="Sunday"/>
    <x v="0"/>
    <n v="4"/>
  </r>
  <r>
    <s v="Call_7517"/>
    <s v="C0004"/>
    <n v="126"/>
    <x v="2"/>
    <d v="2023-03-20T00:00:00"/>
    <x v="11"/>
    <n v="3.8"/>
    <n v="2023"/>
    <s v="Monday"/>
    <x v="1"/>
    <n v="4"/>
  </r>
  <r>
    <s v="Call_7518"/>
    <s v="C0004"/>
    <n v="89"/>
    <x v="1"/>
    <d v="2023-03-20T00:00:00"/>
    <x v="11"/>
    <n v="3.3"/>
    <n v="2023"/>
    <s v="Monday"/>
    <x v="0"/>
    <n v="3"/>
  </r>
  <r>
    <s v="Call_7519"/>
    <s v="C0005"/>
    <n v="56"/>
    <x v="0"/>
    <d v="2023-03-20T00:00:00"/>
    <x v="4"/>
    <n v="4.4000000000000004"/>
    <n v="2023"/>
    <s v="Monday"/>
    <x v="2"/>
    <n v="4"/>
  </r>
  <r>
    <s v="Call_7520"/>
    <s v="C0011"/>
    <n v="48"/>
    <x v="1"/>
    <d v="2023-03-20T00:00:00"/>
    <x v="70"/>
    <n v="3.9"/>
    <n v="2023"/>
    <s v="Monday"/>
    <x v="2"/>
    <n v="4"/>
  </r>
  <r>
    <s v="Call_7521"/>
    <s v="C0004"/>
    <n v="55"/>
    <x v="0"/>
    <d v="2023-03-20T00:00:00"/>
    <x v="51"/>
    <n v="2.7"/>
    <n v="2023"/>
    <s v="Monday"/>
    <x v="2"/>
    <n v="3"/>
  </r>
  <r>
    <s v="Call_7522"/>
    <s v="C0014"/>
    <n v="88"/>
    <x v="4"/>
    <d v="2023-03-20T00:00:00"/>
    <x v="89"/>
    <n v="2.9"/>
    <n v="2023"/>
    <s v="Monday"/>
    <x v="0"/>
    <n v="3"/>
  </r>
  <r>
    <s v="Call_7523"/>
    <s v="C0005"/>
    <n v="102"/>
    <x v="2"/>
    <d v="2023-03-21T00:00:00"/>
    <x v="91"/>
    <n v="4"/>
    <n v="2023"/>
    <s v="Tuesday"/>
    <x v="0"/>
    <n v="4"/>
  </r>
  <r>
    <s v="Call_7524"/>
    <s v="C0014"/>
    <n v="155"/>
    <x v="4"/>
    <d v="2023-03-21T00:00:00"/>
    <x v="63"/>
    <n v="4.4000000000000004"/>
    <n v="2023"/>
    <s v="Tuesday"/>
    <x v="1"/>
    <n v="4"/>
  </r>
  <r>
    <s v="Call_7525"/>
    <s v="C0004"/>
    <n v="63"/>
    <x v="4"/>
    <d v="2023-03-21T00:00:00"/>
    <x v="6"/>
    <n v="5"/>
    <n v="2023"/>
    <s v="Tuesday"/>
    <x v="0"/>
    <n v="5"/>
  </r>
  <r>
    <s v="Call_7526"/>
    <s v="C0007"/>
    <n v="59"/>
    <x v="2"/>
    <d v="2023-03-21T00:00:00"/>
    <x v="46"/>
    <n v="4.0999999999999996"/>
    <n v="2023"/>
    <s v="Tuesday"/>
    <x v="2"/>
    <n v="4"/>
  </r>
  <r>
    <s v="Call_7527"/>
    <s v="C0007"/>
    <n v="144"/>
    <x v="1"/>
    <d v="2023-03-21T00:00:00"/>
    <x v="55"/>
    <n v="4.4000000000000004"/>
    <n v="2023"/>
    <s v="Tuesday"/>
    <x v="1"/>
    <n v="4"/>
  </r>
  <r>
    <s v="Call_7528"/>
    <s v="C0006"/>
    <n v="113"/>
    <x v="3"/>
    <d v="2023-03-21T00:00:00"/>
    <x v="35"/>
    <n v="4.0999999999999996"/>
    <n v="2023"/>
    <s v="Tuesday"/>
    <x v="0"/>
    <n v="4"/>
  </r>
  <r>
    <s v="Call_7529"/>
    <s v="C0012"/>
    <n v="154"/>
    <x v="0"/>
    <d v="2023-03-21T00:00:00"/>
    <x v="44"/>
    <n v="4.5"/>
    <n v="2023"/>
    <s v="Tuesday"/>
    <x v="1"/>
    <n v="5"/>
  </r>
  <r>
    <s v="Call_7530"/>
    <s v="C0012"/>
    <n v="58"/>
    <x v="2"/>
    <d v="2023-03-22T00:00:00"/>
    <x v="92"/>
    <n v="4.2"/>
    <n v="2023"/>
    <s v="Wednesday"/>
    <x v="2"/>
    <n v="4"/>
  </r>
  <r>
    <s v="Call_7531"/>
    <s v="C0011"/>
    <n v="63"/>
    <x v="4"/>
    <d v="2023-03-22T00:00:00"/>
    <x v="90"/>
    <n v="4.5999999999999996"/>
    <n v="2023"/>
    <s v="Wednesday"/>
    <x v="0"/>
    <n v="5"/>
  </r>
  <r>
    <s v="Call_7532"/>
    <s v="C0009"/>
    <n v="59"/>
    <x v="1"/>
    <d v="2023-03-22T00:00:00"/>
    <x v="0"/>
    <n v="4.5"/>
    <n v="2023"/>
    <s v="Wednesday"/>
    <x v="2"/>
    <n v="5"/>
  </r>
  <r>
    <s v="Call_7533"/>
    <s v="C0008"/>
    <n v="129"/>
    <x v="4"/>
    <d v="2023-03-22T00:00:00"/>
    <x v="31"/>
    <n v="4.0999999999999996"/>
    <n v="2023"/>
    <s v="Wednesday"/>
    <x v="1"/>
    <n v="4"/>
  </r>
  <r>
    <s v="Call_7534"/>
    <s v="C0002"/>
    <n v="101"/>
    <x v="3"/>
    <d v="2023-03-22T00:00:00"/>
    <x v="58"/>
    <n v="4.8"/>
    <n v="2023"/>
    <s v="Wednesday"/>
    <x v="0"/>
    <n v="5"/>
  </r>
  <r>
    <s v="Call_7535"/>
    <s v="C0015"/>
    <n v="154"/>
    <x v="1"/>
    <d v="2023-03-22T00:00:00"/>
    <x v="60"/>
    <n v="3.1"/>
    <n v="2023"/>
    <s v="Wednesday"/>
    <x v="1"/>
    <n v="3"/>
  </r>
  <r>
    <s v="Call_7536"/>
    <s v="C0010"/>
    <n v="131"/>
    <x v="1"/>
    <d v="2023-03-22T00:00:00"/>
    <x v="81"/>
    <n v="4.9000000000000004"/>
    <n v="2023"/>
    <s v="Wednesday"/>
    <x v="1"/>
    <n v="5"/>
  </r>
  <r>
    <s v="Call_7537"/>
    <s v="C0007"/>
    <n v="111"/>
    <x v="3"/>
    <d v="2023-03-23T00:00:00"/>
    <x v="33"/>
    <n v="4.0999999999999996"/>
    <n v="2023"/>
    <s v="Thursday"/>
    <x v="0"/>
    <n v="4"/>
  </r>
  <r>
    <s v="Call_7538"/>
    <s v="C0012"/>
    <n v="142"/>
    <x v="3"/>
    <d v="2023-03-24T00:00:00"/>
    <x v="4"/>
    <n v="4.4000000000000004"/>
    <n v="2023"/>
    <s v="Friday"/>
    <x v="1"/>
    <n v="4"/>
  </r>
  <r>
    <s v="Call_7539"/>
    <s v="C0005"/>
    <n v="93"/>
    <x v="4"/>
    <d v="2023-03-24T00:00:00"/>
    <x v="18"/>
    <n v="4.4000000000000004"/>
    <n v="2023"/>
    <s v="Friday"/>
    <x v="0"/>
    <n v="4"/>
  </r>
  <r>
    <s v="Call_7540"/>
    <s v="C0012"/>
    <n v="125"/>
    <x v="0"/>
    <d v="2023-03-25T00:00:00"/>
    <x v="79"/>
    <n v="3"/>
    <n v="2023"/>
    <s v="Saturday"/>
    <x v="1"/>
    <n v="3"/>
  </r>
  <r>
    <s v="Call_7541"/>
    <s v="C0008"/>
    <n v="76"/>
    <x v="1"/>
    <d v="2023-03-25T00:00:00"/>
    <x v="27"/>
    <n v="4.4000000000000004"/>
    <n v="2023"/>
    <s v="Saturday"/>
    <x v="0"/>
    <n v="4"/>
  </r>
  <r>
    <s v="Call_7542"/>
    <s v="C0006"/>
    <n v="69"/>
    <x v="4"/>
    <d v="2023-03-25T00:00:00"/>
    <x v="41"/>
    <n v="3.7"/>
    <n v="2023"/>
    <s v="Saturday"/>
    <x v="0"/>
    <n v="4"/>
  </r>
  <r>
    <s v="Call_7543"/>
    <s v="C0009"/>
    <n v="149"/>
    <x v="0"/>
    <d v="2023-03-25T00:00:00"/>
    <x v="5"/>
    <n v="3.9"/>
    <n v="2023"/>
    <s v="Saturday"/>
    <x v="1"/>
    <n v="4"/>
  </r>
  <r>
    <s v="Call_7544"/>
    <s v="C0012"/>
    <n v="57"/>
    <x v="4"/>
    <d v="2023-03-25T00:00:00"/>
    <x v="56"/>
    <n v="3.5"/>
    <n v="2023"/>
    <s v="Saturday"/>
    <x v="2"/>
    <n v="4"/>
  </r>
  <r>
    <s v="Call_7545"/>
    <s v="C0004"/>
    <n v="113"/>
    <x v="1"/>
    <d v="2023-03-25T00:00:00"/>
    <x v="91"/>
    <n v="3.5"/>
    <n v="2023"/>
    <s v="Saturday"/>
    <x v="0"/>
    <n v="4"/>
  </r>
  <r>
    <s v="Call_7546"/>
    <s v="C0003"/>
    <n v="160"/>
    <x v="0"/>
    <d v="2023-03-25T00:00:00"/>
    <x v="93"/>
    <n v="3.4"/>
    <n v="2023"/>
    <s v="Saturday"/>
    <x v="1"/>
    <n v="3"/>
  </r>
  <r>
    <s v="Call_7547"/>
    <s v="C0011"/>
    <n v="158"/>
    <x v="2"/>
    <d v="2023-03-25T00:00:00"/>
    <x v="5"/>
    <n v="4.5"/>
    <n v="2023"/>
    <s v="Saturday"/>
    <x v="1"/>
    <n v="5"/>
  </r>
  <r>
    <s v="Call_7548"/>
    <s v="C0006"/>
    <n v="77"/>
    <x v="0"/>
    <d v="2023-03-26T00:00:00"/>
    <x v="58"/>
    <n v="4.2"/>
    <n v="2023"/>
    <s v="Sunday"/>
    <x v="0"/>
    <n v="4"/>
  </r>
  <r>
    <s v="Call_7549"/>
    <s v="C0013"/>
    <n v="118"/>
    <x v="3"/>
    <d v="2023-03-26T00:00:00"/>
    <x v="51"/>
    <n v="5"/>
    <n v="2023"/>
    <s v="Sunday"/>
    <x v="0"/>
    <n v="5"/>
  </r>
  <r>
    <s v="Call_7550"/>
    <s v="C0015"/>
    <n v="75"/>
    <x v="1"/>
    <d v="2023-03-26T00:00:00"/>
    <x v="1"/>
    <n v="4.7"/>
    <n v="2023"/>
    <s v="Sunday"/>
    <x v="0"/>
    <n v="5"/>
  </r>
  <r>
    <s v="Call_7551"/>
    <s v="C0004"/>
    <n v="103"/>
    <x v="0"/>
    <d v="2023-03-26T00:00:00"/>
    <x v="28"/>
    <n v="2.8"/>
    <n v="2023"/>
    <s v="Sunday"/>
    <x v="0"/>
    <n v="3"/>
  </r>
  <r>
    <s v="Call_7552"/>
    <s v="C0006"/>
    <n v="116"/>
    <x v="3"/>
    <d v="2023-03-27T00:00:00"/>
    <x v="23"/>
    <n v="3.4"/>
    <n v="2023"/>
    <s v="Monday"/>
    <x v="0"/>
    <n v="3"/>
  </r>
  <r>
    <s v="Call_7553"/>
    <s v="C0007"/>
    <n v="61"/>
    <x v="2"/>
    <d v="2023-03-27T00:00:00"/>
    <x v="21"/>
    <n v="1.8"/>
    <n v="2023"/>
    <s v="Monday"/>
    <x v="0"/>
    <n v="2"/>
  </r>
  <r>
    <s v="Call_7554"/>
    <s v="C0012"/>
    <n v="126"/>
    <x v="1"/>
    <d v="2023-03-27T00:00:00"/>
    <x v="0"/>
    <n v="4.2"/>
    <n v="2023"/>
    <s v="Monday"/>
    <x v="1"/>
    <n v="4"/>
  </r>
  <r>
    <s v="Call_7555"/>
    <s v="C0002"/>
    <n v="141"/>
    <x v="4"/>
    <d v="2023-03-27T00:00:00"/>
    <x v="24"/>
    <n v="4.4000000000000004"/>
    <n v="2023"/>
    <s v="Monday"/>
    <x v="1"/>
    <n v="4"/>
  </r>
  <r>
    <s v="Call_7556"/>
    <s v="C0011"/>
    <n v="95"/>
    <x v="3"/>
    <d v="2023-03-27T00:00:00"/>
    <x v="15"/>
    <n v="2.7"/>
    <n v="2023"/>
    <s v="Monday"/>
    <x v="0"/>
    <n v="3"/>
  </r>
  <r>
    <s v="Call_7557"/>
    <s v="C0015"/>
    <n v="39"/>
    <x v="2"/>
    <d v="2023-03-28T00:00:00"/>
    <x v="91"/>
    <n v="5"/>
    <n v="2023"/>
    <s v="Tuesday"/>
    <x v="2"/>
    <n v="5"/>
  </r>
  <r>
    <s v="Call_7558"/>
    <s v="C0004"/>
    <n v="127"/>
    <x v="1"/>
    <d v="2023-03-28T00:00:00"/>
    <x v="51"/>
    <n v="3.9"/>
    <n v="2023"/>
    <s v="Tuesday"/>
    <x v="1"/>
    <n v="4"/>
  </r>
  <r>
    <s v="Call_7559"/>
    <s v="C0007"/>
    <n v="78"/>
    <x v="1"/>
    <d v="2023-03-28T00:00:00"/>
    <x v="57"/>
    <n v="3.8"/>
    <n v="2023"/>
    <s v="Tuesday"/>
    <x v="0"/>
    <n v="4"/>
  </r>
  <r>
    <s v="Call_7560"/>
    <s v="C0013"/>
    <n v="40"/>
    <x v="1"/>
    <d v="2023-03-28T00:00:00"/>
    <x v="52"/>
    <n v="4.5999999999999996"/>
    <n v="2023"/>
    <s v="Tuesday"/>
    <x v="2"/>
    <n v="5"/>
  </r>
  <r>
    <s v="Call_7561"/>
    <s v="C0007"/>
    <n v="56"/>
    <x v="2"/>
    <d v="2023-03-28T00:00:00"/>
    <x v="94"/>
    <n v="4.5999999999999996"/>
    <n v="2023"/>
    <s v="Tuesday"/>
    <x v="2"/>
    <n v="5"/>
  </r>
  <r>
    <s v="Call_7562"/>
    <s v="C0015"/>
    <n v="59"/>
    <x v="4"/>
    <d v="2023-03-28T00:00:00"/>
    <x v="80"/>
    <n v="4.5"/>
    <n v="2023"/>
    <s v="Tuesday"/>
    <x v="2"/>
    <n v="5"/>
  </r>
  <r>
    <s v="Call_7563"/>
    <s v="C0012"/>
    <n v="30"/>
    <x v="1"/>
    <d v="2023-03-28T00:00:00"/>
    <x v="35"/>
    <n v="4.2"/>
    <n v="2023"/>
    <s v="Tuesday"/>
    <x v="3"/>
    <n v="4"/>
  </r>
  <r>
    <s v="Call_7564"/>
    <s v="C0013"/>
    <n v="63"/>
    <x v="0"/>
    <d v="2023-03-29T00:00:00"/>
    <x v="95"/>
    <n v="4.5"/>
    <n v="2023"/>
    <s v="Wednesday"/>
    <x v="0"/>
    <n v="5"/>
  </r>
  <r>
    <s v="Call_7565"/>
    <s v="C0005"/>
    <n v="56"/>
    <x v="3"/>
    <d v="2023-03-29T00:00:00"/>
    <x v="66"/>
    <n v="4.0999999999999996"/>
    <n v="2023"/>
    <s v="Wednesday"/>
    <x v="2"/>
    <n v="4"/>
  </r>
  <r>
    <s v="Call_7566"/>
    <s v="C0008"/>
    <n v="95"/>
    <x v="0"/>
    <d v="2023-03-29T00:00:00"/>
    <x v="22"/>
    <n v="3.3"/>
    <n v="2023"/>
    <s v="Wednesday"/>
    <x v="0"/>
    <n v="3"/>
  </r>
  <r>
    <s v="Call_7567"/>
    <s v="C0001"/>
    <n v="128"/>
    <x v="4"/>
    <d v="2023-03-29T00:00:00"/>
    <x v="5"/>
    <n v="3.8"/>
    <n v="2023"/>
    <s v="Wednesday"/>
    <x v="1"/>
    <n v="4"/>
  </r>
  <r>
    <s v="Call_7568"/>
    <s v="C0011"/>
    <n v="49"/>
    <x v="0"/>
    <d v="2023-03-29T00:00:00"/>
    <x v="24"/>
    <n v="3"/>
    <n v="2023"/>
    <s v="Wednesday"/>
    <x v="2"/>
    <n v="3"/>
  </r>
  <r>
    <s v="Call_7569"/>
    <s v="C0001"/>
    <n v="89"/>
    <x v="2"/>
    <d v="2023-03-31T00:00:00"/>
    <x v="44"/>
    <n v="4.5999999999999996"/>
    <n v="2023"/>
    <s v="Friday"/>
    <x v="0"/>
    <n v="5"/>
  </r>
  <r>
    <s v="Call_7570"/>
    <s v="C0009"/>
    <n v="87"/>
    <x v="0"/>
    <d v="2023-03-31T00:00:00"/>
    <x v="94"/>
    <n v="2.9"/>
    <n v="2023"/>
    <s v="Friday"/>
    <x v="0"/>
    <n v="3"/>
  </r>
  <r>
    <s v="Call_7571"/>
    <s v="C0003"/>
    <n v="60"/>
    <x v="1"/>
    <d v="2023-04-01T00:00:00"/>
    <x v="46"/>
    <n v="3.2"/>
    <n v="2023"/>
    <s v="Saturday"/>
    <x v="2"/>
    <n v="3"/>
  </r>
  <r>
    <s v="Call_7572"/>
    <s v="C0014"/>
    <n v="42"/>
    <x v="2"/>
    <d v="2023-04-01T00:00:00"/>
    <x v="82"/>
    <n v="1.5"/>
    <n v="2023"/>
    <s v="Saturday"/>
    <x v="2"/>
    <n v="2"/>
  </r>
  <r>
    <s v="Call_7573"/>
    <s v="C0010"/>
    <n v="99"/>
    <x v="1"/>
    <d v="2023-04-01T00:00:00"/>
    <x v="61"/>
    <n v="4"/>
    <n v="2023"/>
    <s v="Saturday"/>
    <x v="0"/>
    <n v="4"/>
  </r>
  <r>
    <s v="Call_7574"/>
    <s v="C0005"/>
    <n v="20"/>
    <x v="2"/>
    <d v="2023-04-01T00:00:00"/>
    <x v="5"/>
    <n v="3.6"/>
    <n v="2023"/>
    <s v="Saturday"/>
    <x v="3"/>
    <n v="4"/>
  </r>
  <r>
    <s v="Call_7575"/>
    <s v="C0013"/>
    <n v="65"/>
    <x v="1"/>
    <d v="2023-04-01T00:00:00"/>
    <x v="39"/>
    <n v="3.7"/>
    <n v="2023"/>
    <s v="Saturday"/>
    <x v="0"/>
    <n v="4"/>
  </r>
  <r>
    <s v="Call_7576"/>
    <s v="C0012"/>
    <n v="71"/>
    <x v="0"/>
    <d v="2023-04-02T00:00:00"/>
    <x v="27"/>
    <n v="4.8"/>
    <n v="2023"/>
    <s v="Sunday"/>
    <x v="0"/>
    <n v="5"/>
  </r>
  <r>
    <s v="Call_7577"/>
    <s v="C0004"/>
    <n v="95"/>
    <x v="4"/>
    <d v="2023-04-02T00:00:00"/>
    <x v="68"/>
    <n v="1.2"/>
    <n v="2023"/>
    <s v="Sunday"/>
    <x v="0"/>
    <n v="1"/>
  </r>
  <r>
    <s v="Call_7578"/>
    <s v="C0005"/>
    <n v="81"/>
    <x v="3"/>
    <d v="2023-04-03T00:00:00"/>
    <x v="42"/>
    <n v="4.7"/>
    <n v="2023"/>
    <s v="Monday"/>
    <x v="0"/>
    <n v="5"/>
  </r>
  <r>
    <s v="Call_7579"/>
    <s v="C0006"/>
    <n v="137"/>
    <x v="3"/>
    <d v="2023-04-03T00:00:00"/>
    <x v="46"/>
    <n v="4.7"/>
    <n v="2023"/>
    <s v="Monday"/>
    <x v="1"/>
    <n v="5"/>
  </r>
  <r>
    <s v="Call_7580"/>
    <s v="C0006"/>
    <n v="40"/>
    <x v="4"/>
    <d v="2023-04-03T00:00:00"/>
    <x v="96"/>
    <n v="4.5"/>
    <n v="2023"/>
    <s v="Monday"/>
    <x v="2"/>
    <n v="5"/>
  </r>
  <r>
    <s v="Call_7581"/>
    <s v="C0010"/>
    <n v="111"/>
    <x v="1"/>
    <d v="2023-04-04T00:00:00"/>
    <x v="97"/>
    <n v="3.5"/>
    <n v="2023"/>
    <s v="Tuesday"/>
    <x v="0"/>
    <n v="4"/>
  </r>
  <r>
    <s v="Call_7582"/>
    <s v="C0012"/>
    <n v="106"/>
    <x v="1"/>
    <d v="2023-04-04T00:00:00"/>
    <x v="98"/>
    <n v="4.0999999999999996"/>
    <n v="2023"/>
    <s v="Tuesday"/>
    <x v="0"/>
    <n v="4"/>
  </r>
  <r>
    <s v="Call_7583"/>
    <s v="C0014"/>
    <n v="133"/>
    <x v="2"/>
    <d v="2023-04-04T00:00:00"/>
    <x v="18"/>
    <n v="4.4000000000000004"/>
    <n v="2023"/>
    <s v="Tuesday"/>
    <x v="1"/>
    <n v="4"/>
  </r>
  <r>
    <s v="Call_7584"/>
    <s v="C0007"/>
    <n v="38"/>
    <x v="1"/>
    <d v="2023-04-05T00:00:00"/>
    <x v="91"/>
    <n v="3.6"/>
    <n v="2023"/>
    <s v="Wednesday"/>
    <x v="2"/>
    <n v="4"/>
  </r>
  <r>
    <s v="Call_7585"/>
    <s v="C0015"/>
    <n v="130"/>
    <x v="4"/>
    <d v="2023-04-05T00:00:00"/>
    <x v="48"/>
    <n v="4.0999999999999996"/>
    <n v="2023"/>
    <s v="Wednesday"/>
    <x v="1"/>
    <n v="4"/>
  </r>
  <r>
    <s v="Call_7586"/>
    <s v="C0013"/>
    <n v="23"/>
    <x v="2"/>
    <d v="2023-04-05T00:00:00"/>
    <x v="7"/>
    <n v="4.8"/>
    <n v="2023"/>
    <s v="Wednesday"/>
    <x v="3"/>
    <n v="5"/>
  </r>
  <r>
    <s v="Call_7587"/>
    <s v="C0015"/>
    <n v="124"/>
    <x v="1"/>
    <d v="2023-04-06T00:00:00"/>
    <x v="92"/>
    <n v="3.9"/>
    <n v="2023"/>
    <s v="Thursday"/>
    <x v="1"/>
    <n v="4"/>
  </r>
  <r>
    <s v="Call_7588"/>
    <s v="C0005"/>
    <n v="107"/>
    <x v="1"/>
    <d v="2023-04-06T00:00:00"/>
    <x v="99"/>
    <n v="3.8"/>
    <n v="2023"/>
    <s v="Thursday"/>
    <x v="0"/>
    <n v="4"/>
  </r>
  <r>
    <s v="Call_7589"/>
    <s v="C0006"/>
    <n v="60"/>
    <x v="0"/>
    <d v="2023-04-06T00:00:00"/>
    <x v="93"/>
    <n v="3.9"/>
    <n v="2023"/>
    <s v="Thursday"/>
    <x v="2"/>
    <n v="4"/>
  </r>
  <r>
    <s v="Call_7590"/>
    <s v="C0006"/>
    <n v="158"/>
    <x v="4"/>
    <d v="2023-04-06T00:00:00"/>
    <x v="62"/>
    <n v="4.0999999999999996"/>
    <n v="2023"/>
    <s v="Thursday"/>
    <x v="1"/>
    <n v="4"/>
  </r>
  <r>
    <s v="Call_7591"/>
    <s v="C0009"/>
    <n v="110"/>
    <x v="4"/>
    <d v="2023-04-07T00:00:00"/>
    <x v="73"/>
    <n v="2.2000000000000002"/>
    <n v="2023"/>
    <s v="Friday"/>
    <x v="0"/>
    <n v="2"/>
  </r>
  <r>
    <s v="Call_7592"/>
    <s v="C0001"/>
    <n v="70"/>
    <x v="4"/>
    <d v="2023-04-07T00:00:00"/>
    <x v="74"/>
    <n v="5"/>
    <n v="2023"/>
    <s v="Friday"/>
    <x v="0"/>
    <n v="5"/>
  </r>
  <r>
    <s v="Call_7593"/>
    <s v="C0001"/>
    <n v="150"/>
    <x v="0"/>
    <d v="2023-04-07T00:00:00"/>
    <x v="13"/>
    <n v="3.8"/>
    <n v="2023"/>
    <s v="Friday"/>
    <x v="1"/>
    <n v="4"/>
  </r>
  <r>
    <s v="Call_7594"/>
    <s v="C0007"/>
    <n v="36"/>
    <x v="1"/>
    <d v="2023-04-07T00:00:00"/>
    <x v="1"/>
    <n v="4.5999999999999996"/>
    <n v="2023"/>
    <s v="Friday"/>
    <x v="2"/>
    <n v="5"/>
  </r>
  <r>
    <s v="Call_7595"/>
    <s v="C0015"/>
    <n v="74"/>
    <x v="1"/>
    <d v="2023-04-07T00:00:00"/>
    <x v="17"/>
    <n v="4"/>
    <n v="2023"/>
    <s v="Friday"/>
    <x v="0"/>
    <n v="4"/>
  </r>
  <r>
    <s v="Call_7596"/>
    <s v="C0004"/>
    <n v="75"/>
    <x v="1"/>
    <d v="2023-04-07T00:00:00"/>
    <x v="59"/>
    <n v="2.8"/>
    <n v="2023"/>
    <s v="Friday"/>
    <x v="0"/>
    <n v="3"/>
  </r>
  <r>
    <s v="Call_7597"/>
    <s v="C0008"/>
    <n v="70"/>
    <x v="3"/>
    <d v="2023-04-07T00:00:00"/>
    <x v="28"/>
    <n v="4.4000000000000004"/>
    <n v="2023"/>
    <s v="Friday"/>
    <x v="0"/>
    <n v="4"/>
  </r>
  <r>
    <s v="Call_7598"/>
    <s v="C0009"/>
    <n v="23"/>
    <x v="4"/>
    <d v="2023-04-07T00:00:00"/>
    <x v="83"/>
    <n v="2.4"/>
    <n v="2023"/>
    <s v="Friday"/>
    <x v="3"/>
    <n v="2"/>
  </r>
  <r>
    <s v="Call_7599"/>
    <s v="C0010"/>
    <n v="104"/>
    <x v="2"/>
    <d v="2023-04-07T00:00:00"/>
    <x v="84"/>
    <n v="4"/>
    <n v="2023"/>
    <s v="Friday"/>
    <x v="0"/>
    <n v="4"/>
  </r>
  <r>
    <s v="Call_7600"/>
    <s v="C0001"/>
    <n v="95"/>
    <x v="3"/>
    <d v="2023-04-08T00:00:00"/>
    <x v="26"/>
    <n v="4.4000000000000004"/>
    <n v="2023"/>
    <s v="Saturday"/>
    <x v="0"/>
    <n v="4"/>
  </r>
  <r>
    <s v="Call_7601"/>
    <s v="C0011"/>
    <n v="49"/>
    <x v="0"/>
    <d v="2023-04-08T00:00:00"/>
    <x v="60"/>
    <n v="2.9"/>
    <n v="2023"/>
    <s v="Saturday"/>
    <x v="2"/>
    <n v="3"/>
  </r>
  <r>
    <s v="Call_7602"/>
    <s v="C0012"/>
    <n v="8"/>
    <x v="4"/>
    <d v="2023-04-08T00:00:00"/>
    <x v="88"/>
    <n v="4.8"/>
    <n v="2023"/>
    <s v="Saturday"/>
    <x v="4"/>
    <n v="5"/>
  </r>
  <r>
    <s v="Call_7603"/>
    <s v="C0001"/>
    <n v="157"/>
    <x v="0"/>
    <d v="2023-04-08T00:00:00"/>
    <x v="18"/>
    <n v="3.7"/>
    <n v="2023"/>
    <s v="Saturday"/>
    <x v="1"/>
    <n v="4"/>
  </r>
  <r>
    <s v="Call_7604"/>
    <s v="C0005"/>
    <n v="74"/>
    <x v="1"/>
    <d v="2023-04-08T00:00:00"/>
    <x v="37"/>
    <n v="4.8"/>
    <n v="2023"/>
    <s v="Saturday"/>
    <x v="0"/>
    <n v="5"/>
  </r>
  <r>
    <s v="Call_7605"/>
    <s v="C0009"/>
    <n v="72"/>
    <x v="3"/>
    <d v="2023-04-08T00:00:00"/>
    <x v="21"/>
    <n v="3.2"/>
    <n v="2023"/>
    <s v="Saturday"/>
    <x v="0"/>
    <n v="3"/>
  </r>
  <r>
    <s v="Call_7606"/>
    <s v="C0005"/>
    <n v="79"/>
    <x v="1"/>
    <d v="2023-04-09T00:00:00"/>
    <x v="31"/>
    <n v="4.9000000000000004"/>
    <n v="2023"/>
    <s v="Sunday"/>
    <x v="0"/>
    <n v="5"/>
  </r>
  <r>
    <s v="Call_7607"/>
    <s v="C0015"/>
    <n v="23"/>
    <x v="1"/>
    <d v="2023-04-09T00:00:00"/>
    <x v="33"/>
    <n v="2.2000000000000002"/>
    <n v="2023"/>
    <s v="Sunday"/>
    <x v="3"/>
    <n v="2"/>
  </r>
  <r>
    <s v="Call_7608"/>
    <s v="C0004"/>
    <n v="69"/>
    <x v="1"/>
    <d v="2023-04-09T00:00:00"/>
    <x v="32"/>
    <n v="5"/>
    <n v="2023"/>
    <s v="Sunday"/>
    <x v="0"/>
    <n v="5"/>
  </r>
  <r>
    <s v="Call_7609"/>
    <s v="C0006"/>
    <n v="64"/>
    <x v="1"/>
    <d v="2023-04-09T00:00:00"/>
    <x v="24"/>
    <n v="3.3"/>
    <n v="2023"/>
    <s v="Sunday"/>
    <x v="0"/>
    <n v="3"/>
  </r>
  <r>
    <s v="Call_7610"/>
    <s v="C0002"/>
    <n v="47"/>
    <x v="0"/>
    <d v="2023-04-09T00:00:00"/>
    <x v="32"/>
    <n v="3.7"/>
    <n v="2023"/>
    <s v="Sunday"/>
    <x v="2"/>
    <n v="4"/>
  </r>
  <r>
    <s v="Call_7611"/>
    <s v="C0005"/>
    <n v="55"/>
    <x v="3"/>
    <d v="2023-04-09T00:00:00"/>
    <x v="79"/>
    <n v="3.7"/>
    <n v="2023"/>
    <s v="Sunday"/>
    <x v="2"/>
    <n v="4"/>
  </r>
  <r>
    <s v="Call_7612"/>
    <s v="C0010"/>
    <n v="104"/>
    <x v="3"/>
    <d v="2023-04-10T00:00:00"/>
    <x v="12"/>
    <n v="3.6"/>
    <n v="2023"/>
    <s v="Monday"/>
    <x v="0"/>
    <n v="4"/>
  </r>
  <r>
    <s v="Call_7613"/>
    <s v="C0002"/>
    <n v="116"/>
    <x v="1"/>
    <d v="2023-04-10T00:00:00"/>
    <x v="3"/>
    <n v="4.7"/>
    <n v="2023"/>
    <s v="Monday"/>
    <x v="0"/>
    <n v="5"/>
  </r>
  <r>
    <s v="Call_7614"/>
    <s v="C0015"/>
    <n v="99"/>
    <x v="3"/>
    <d v="2023-04-10T00:00:00"/>
    <x v="28"/>
    <n v="3.1"/>
    <n v="2023"/>
    <s v="Monday"/>
    <x v="0"/>
    <n v="3"/>
  </r>
  <r>
    <s v="Call_7615"/>
    <s v="C0010"/>
    <n v="84"/>
    <x v="3"/>
    <d v="2023-04-11T00:00:00"/>
    <x v="100"/>
    <n v="3.3"/>
    <n v="2023"/>
    <s v="Tuesday"/>
    <x v="0"/>
    <n v="3"/>
  </r>
  <r>
    <s v="Call_7616"/>
    <s v="C0012"/>
    <n v="159"/>
    <x v="3"/>
    <d v="2023-04-11T00:00:00"/>
    <x v="28"/>
    <n v="4.5"/>
    <n v="2023"/>
    <s v="Tuesday"/>
    <x v="1"/>
    <n v="5"/>
  </r>
  <r>
    <s v="Call_7617"/>
    <s v="C0007"/>
    <n v="25"/>
    <x v="0"/>
    <d v="2023-04-11T00:00:00"/>
    <x v="75"/>
    <n v="3.9"/>
    <n v="2023"/>
    <s v="Tuesday"/>
    <x v="3"/>
    <n v="4"/>
  </r>
  <r>
    <s v="Call_7618"/>
    <s v="C0012"/>
    <n v="53"/>
    <x v="4"/>
    <d v="2023-04-12T00:00:00"/>
    <x v="50"/>
    <n v="4.9000000000000004"/>
    <n v="2023"/>
    <s v="Wednesday"/>
    <x v="2"/>
    <n v="5"/>
  </r>
  <r>
    <s v="Call_7619"/>
    <s v="C0012"/>
    <n v="89"/>
    <x v="0"/>
    <d v="2023-04-12T00:00:00"/>
    <x v="70"/>
    <n v="4.8"/>
    <n v="2023"/>
    <s v="Wednesday"/>
    <x v="0"/>
    <n v="5"/>
  </r>
  <r>
    <s v="Call_7620"/>
    <s v="C0014"/>
    <n v="73"/>
    <x v="1"/>
    <d v="2023-04-13T00:00:00"/>
    <x v="82"/>
    <n v="3.6"/>
    <n v="2023"/>
    <s v="Thursday"/>
    <x v="0"/>
    <n v="4"/>
  </r>
  <r>
    <s v="Call_7621"/>
    <s v="C0015"/>
    <n v="50"/>
    <x v="1"/>
    <d v="2023-04-13T00:00:00"/>
    <x v="7"/>
    <n v="3.5"/>
    <n v="2023"/>
    <s v="Thursday"/>
    <x v="2"/>
    <n v="4"/>
  </r>
  <r>
    <s v="Call_7622"/>
    <s v="C0011"/>
    <n v="98"/>
    <x v="1"/>
    <d v="2023-04-13T00:00:00"/>
    <x v="3"/>
    <n v="3.8"/>
    <n v="2023"/>
    <s v="Thursday"/>
    <x v="0"/>
    <n v="4"/>
  </r>
  <r>
    <s v="Call_7623"/>
    <s v="C0013"/>
    <n v="114"/>
    <x v="3"/>
    <d v="2023-04-14T00:00:00"/>
    <x v="41"/>
    <n v="4.4000000000000004"/>
    <n v="2023"/>
    <s v="Friday"/>
    <x v="0"/>
    <n v="4"/>
  </r>
  <r>
    <s v="Call_7624"/>
    <s v="C0006"/>
    <n v="67"/>
    <x v="3"/>
    <d v="2023-04-14T00:00:00"/>
    <x v="56"/>
    <n v="3"/>
    <n v="2023"/>
    <s v="Friday"/>
    <x v="0"/>
    <n v="3"/>
  </r>
  <r>
    <s v="Call_7625"/>
    <s v="C0005"/>
    <n v="91"/>
    <x v="1"/>
    <d v="2023-04-14T00:00:00"/>
    <x v="59"/>
    <n v="4.5"/>
    <n v="2023"/>
    <s v="Friday"/>
    <x v="0"/>
    <n v="5"/>
  </r>
  <r>
    <s v="Call_7626"/>
    <s v="C0008"/>
    <n v="67"/>
    <x v="1"/>
    <d v="2023-04-15T00:00:00"/>
    <x v="60"/>
    <n v="4.5"/>
    <n v="2023"/>
    <s v="Saturday"/>
    <x v="0"/>
    <n v="5"/>
  </r>
  <r>
    <s v="Call_7627"/>
    <s v="C0013"/>
    <n v="139"/>
    <x v="0"/>
    <d v="2023-04-15T00:00:00"/>
    <x v="74"/>
    <n v="4"/>
    <n v="2023"/>
    <s v="Saturday"/>
    <x v="1"/>
    <n v="4"/>
  </r>
  <r>
    <s v="Call_7628"/>
    <s v="C0008"/>
    <n v="102"/>
    <x v="0"/>
    <d v="2023-04-15T00:00:00"/>
    <x v="5"/>
    <n v="3.8"/>
    <n v="2023"/>
    <s v="Saturday"/>
    <x v="0"/>
    <n v="4"/>
  </r>
  <r>
    <s v="Call_7629"/>
    <s v="C0001"/>
    <n v="108"/>
    <x v="2"/>
    <d v="2023-04-15T00:00:00"/>
    <x v="30"/>
    <n v="3.3"/>
    <n v="2023"/>
    <s v="Saturday"/>
    <x v="0"/>
    <n v="3"/>
  </r>
  <r>
    <s v="Call_7630"/>
    <s v="C0007"/>
    <n v="66"/>
    <x v="1"/>
    <d v="2023-04-15T00:00:00"/>
    <x v="80"/>
    <n v="4.3"/>
    <n v="2023"/>
    <s v="Saturday"/>
    <x v="0"/>
    <n v="4"/>
  </r>
  <r>
    <s v="Call_7631"/>
    <s v="C0009"/>
    <n v="85"/>
    <x v="0"/>
    <d v="2023-04-15T00:00:00"/>
    <x v="86"/>
    <n v="4.2"/>
    <n v="2023"/>
    <s v="Saturday"/>
    <x v="0"/>
    <n v="4"/>
  </r>
  <r>
    <s v="Call_7632"/>
    <s v="C0006"/>
    <n v="55"/>
    <x v="2"/>
    <d v="2023-04-15T00:00:00"/>
    <x v="46"/>
    <n v="4.3"/>
    <n v="2023"/>
    <s v="Saturday"/>
    <x v="2"/>
    <n v="4"/>
  </r>
  <r>
    <s v="Call_7633"/>
    <s v="C0001"/>
    <n v="17"/>
    <x v="4"/>
    <d v="2023-04-15T00:00:00"/>
    <x v="8"/>
    <n v="4.5999999999999996"/>
    <n v="2023"/>
    <s v="Saturday"/>
    <x v="3"/>
    <n v="5"/>
  </r>
  <r>
    <s v="Call_7634"/>
    <s v="C0006"/>
    <n v="128"/>
    <x v="4"/>
    <d v="2023-04-15T00:00:00"/>
    <x v="21"/>
    <n v="3"/>
    <n v="2023"/>
    <s v="Saturday"/>
    <x v="1"/>
    <n v="3"/>
  </r>
  <r>
    <s v="Call_7635"/>
    <s v="C0015"/>
    <n v="45"/>
    <x v="2"/>
    <d v="2023-04-16T00:00:00"/>
    <x v="47"/>
    <n v="2.7"/>
    <n v="2023"/>
    <s v="Sunday"/>
    <x v="2"/>
    <n v="3"/>
  </r>
  <r>
    <s v="Call_7636"/>
    <s v="C0001"/>
    <n v="41"/>
    <x v="4"/>
    <d v="2023-04-16T00:00:00"/>
    <x v="84"/>
    <n v="3.1"/>
    <n v="2023"/>
    <s v="Sunday"/>
    <x v="2"/>
    <n v="3"/>
  </r>
  <r>
    <s v="Call_7637"/>
    <s v="C0002"/>
    <n v="49"/>
    <x v="4"/>
    <d v="2023-04-16T00:00:00"/>
    <x v="14"/>
    <n v="2.6"/>
    <n v="2023"/>
    <s v="Sunday"/>
    <x v="2"/>
    <n v="3"/>
  </r>
  <r>
    <s v="Call_7638"/>
    <s v="C0004"/>
    <n v="21"/>
    <x v="3"/>
    <d v="2023-04-16T00:00:00"/>
    <x v="61"/>
    <n v="4.5999999999999996"/>
    <n v="2023"/>
    <s v="Sunday"/>
    <x v="3"/>
    <n v="5"/>
  </r>
  <r>
    <s v="Call_7639"/>
    <s v="C0012"/>
    <n v="133"/>
    <x v="2"/>
    <d v="2023-04-16T00:00:00"/>
    <x v="62"/>
    <n v="4"/>
    <n v="2023"/>
    <s v="Sunday"/>
    <x v="1"/>
    <n v="4"/>
  </r>
  <r>
    <s v="Call_7640"/>
    <s v="C0003"/>
    <n v="135"/>
    <x v="1"/>
    <d v="2023-04-16T00:00:00"/>
    <x v="101"/>
    <n v="4.5"/>
    <n v="2023"/>
    <s v="Sunday"/>
    <x v="1"/>
    <n v="5"/>
  </r>
  <r>
    <s v="Call_7641"/>
    <s v="C0013"/>
    <n v="69"/>
    <x v="2"/>
    <d v="2023-04-16T00:00:00"/>
    <x v="58"/>
    <n v="1.9"/>
    <n v="2023"/>
    <s v="Sunday"/>
    <x v="0"/>
    <n v="2"/>
  </r>
  <r>
    <s v="Call_7642"/>
    <s v="C0010"/>
    <n v="110"/>
    <x v="3"/>
    <d v="2023-04-17T00:00:00"/>
    <x v="65"/>
    <n v="2.6"/>
    <n v="2023"/>
    <s v="Monday"/>
    <x v="0"/>
    <n v="3"/>
  </r>
  <r>
    <s v="Call_7643"/>
    <s v="C0008"/>
    <n v="64"/>
    <x v="0"/>
    <d v="2023-04-17T00:00:00"/>
    <x v="66"/>
    <n v="4.3"/>
    <n v="2023"/>
    <s v="Monday"/>
    <x v="0"/>
    <n v="4"/>
  </r>
  <r>
    <s v="Call_7644"/>
    <s v="C0005"/>
    <n v="105"/>
    <x v="4"/>
    <d v="2023-04-17T00:00:00"/>
    <x v="56"/>
    <n v="4.4000000000000004"/>
    <n v="2023"/>
    <s v="Monday"/>
    <x v="0"/>
    <n v="4"/>
  </r>
  <r>
    <s v="Call_7645"/>
    <s v="C0008"/>
    <n v="165"/>
    <x v="1"/>
    <d v="2023-04-17T00:00:00"/>
    <x v="12"/>
    <n v="4.3"/>
    <n v="2023"/>
    <s v="Monday"/>
    <x v="1"/>
    <n v="4"/>
  </r>
  <r>
    <s v="Call_7646"/>
    <s v="C0015"/>
    <n v="125"/>
    <x v="1"/>
    <d v="2023-04-17T00:00:00"/>
    <x v="6"/>
    <n v="4.5"/>
    <n v="2023"/>
    <s v="Monday"/>
    <x v="1"/>
    <n v="5"/>
  </r>
  <r>
    <s v="Call_7647"/>
    <s v="C0005"/>
    <n v="88"/>
    <x v="0"/>
    <d v="2023-04-18T00:00:00"/>
    <x v="91"/>
    <n v="4.2"/>
    <n v="2023"/>
    <s v="Tuesday"/>
    <x v="0"/>
    <n v="4"/>
  </r>
  <r>
    <s v="Call_7648"/>
    <s v="C0013"/>
    <n v="6"/>
    <x v="0"/>
    <d v="2023-04-18T00:00:00"/>
    <x v="75"/>
    <n v="3.9"/>
    <n v="2023"/>
    <s v="Tuesday"/>
    <x v="4"/>
    <n v="4"/>
  </r>
  <r>
    <s v="Call_7649"/>
    <s v="C0009"/>
    <n v="69"/>
    <x v="2"/>
    <d v="2023-04-19T00:00:00"/>
    <x v="37"/>
    <n v="3.6"/>
    <n v="2023"/>
    <s v="Wednesday"/>
    <x v="0"/>
    <n v="4"/>
  </r>
  <r>
    <s v="Call_7650"/>
    <s v="C0001"/>
    <n v="107"/>
    <x v="2"/>
    <d v="2023-04-19T00:00:00"/>
    <x v="47"/>
    <n v="3.8"/>
    <n v="2023"/>
    <s v="Wednesday"/>
    <x v="0"/>
    <n v="4"/>
  </r>
  <r>
    <s v="Call_7651"/>
    <s v="C0004"/>
    <n v="90"/>
    <x v="1"/>
    <d v="2023-04-19T00:00:00"/>
    <x v="51"/>
    <n v="4.9000000000000004"/>
    <n v="2023"/>
    <s v="Wednesday"/>
    <x v="0"/>
    <n v="5"/>
  </r>
  <r>
    <s v="Call_7652"/>
    <s v="C0003"/>
    <n v="120"/>
    <x v="4"/>
    <d v="2023-04-19T00:00:00"/>
    <x v="30"/>
    <n v="4"/>
    <n v="2023"/>
    <s v="Wednesday"/>
    <x v="0"/>
    <n v="4"/>
  </r>
  <r>
    <s v="Call_7653"/>
    <s v="C0011"/>
    <n v="47"/>
    <x v="2"/>
    <d v="2023-04-19T00:00:00"/>
    <x v="59"/>
    <n v="4.0999999999999996"/>
    <n v="2023"/>
    <s v="Wednesday"/>
    <x v="2"/>
    <n v="4"/>
  </r>
  <r>
    <s v="Call_7654"/>
    <s v="C0014"/>
    <n v="60"/>
    <x v="4"/>
    <d v="2023-04-19T00:00:00"/>
    <x v="59"/>
    <n v="4.8"/>
    <n v="2023"/>
    <s v="Wednesday"/>
    <x v="2"/>
    <n v="5"/>
  </r>
  <r>
    <s v="Call_7655"/>
    <s v="C0006"/>
    <n v="64"/>
    <x v="1"/>
    <d v="2023-04-19T00:00:00"/>
    <x v="16"/>
    <n v="2.2999999999999998"/>
    <n v="2023"/>
    <s v="Wednesday"/>
    <x v="0"/>
    <n v="2"/>
  </r>
  <r>
    <s v="Call_7656"/>
    <s v="C0008"/>
    <n v="62"/>
    <x v="2"/>
    <d v="2023-04-19T00:00:00"/>
    <x v="56"/>
    <n v="4.4000000000000004"/>
    <n v="2023"/>
    <s v="Wednesday"/>
    <x v="0"/>
    <n v="4"/>
  </r>
  <r>
    <s v="Call_7657"/>
    <s v="C0010"/>
    <n v="88"/>
    <x v="2"/>
    <d v="2023-04-20T00:00:00"/>
    <x v="56"/>
    <n v="3.8"/>
    <n v="2023"/>
    <s v="Thursday"/>
    <x v="0"/>
    <n v="4"/>
  </r>
  <r>
    <s v="Call_7658"/>
    <s v="C0015"/>
    <n v="116"/>
    <x v="2"/>
    <d v="2023-04-20T00:00:00"/>
    <x v="32"/>
    <n v="5"/>
    <n v="2023"/>
    <s v="Thursday"/>
    <x v="0"/>
    <n v="5"/>
  </r>
  <r>
    <s v="Call_7659"/>
    <s v="C0004"/>
    <n v="82"/>
    <x v="0"/>
    <d v="2023-04-21T00:00:00"/>
    <x v="89"/>
    <n v="3.3"/>
    <n v="2023"/>
    <s v="Friday"/>
    <x v="0"/>
    <n v="3"/>
  </r>
  <r>
    <s v="Call_7660"/>
    <s v="C0008"/>
    <n v="99"/>
    <x v="1"/>
    <d v="2023-04-21T00:00:00"/>
    <x v="43"/>
    <n v="5"/>
    <n v="2023"/>
    <s v="Friday"/>
    <x v="0"/>
    <n v="5"/>
  </r>
  <r>
    <s v="Call_7661"/>
    <s v="C0008"/>
    <n v="55"/>
    <x v="0"/>
    <d v="2023-04-21T00:00:00"/>
    <x v="70"/>
    <n v="2.2999999999999998"/>
    <n v="2023"/>
    <s v="Friday"/>
    <x v="2"/>
    <n v="2"/>
  </r>
  <r>
    <s v="Call_7662"/>
    <s v="C0006"/>
    <n v="61"/>
    <x v="4"/>
    <d v="2023-04-21T00:00:00"/>
    <x v="100"/>
    <n v="4.8"/>
    <n v="2023"/>
    <s v="Friday"/>
    <x v="0"/>
    <n v="5"/>
  </r>
  <r>
    <s v="Call_7663"/>
    <s v="C0015"/>
    <n v="36"/>
    <x v="3"/>
    <d v="2023-04-21T00:00:00"/>
    <x v="91"/>
    <n v="3.7"/>
    <n v="2023"/>
    <s v="Friday"/>
    <x v="2"/>
    <n v="4"/>
  </r>
  <r>
    <s v="Call_7664"/>
    <s v="C0004"/>
    <n v="123"/>
    <x v="2"/>
    <d v="2023-04-21T00:00:00"/>
    <x v="31"/>
    <n v="4.2"/>
    <n v="2023"/>
    <s v="Friday"/>
    <x v="1"/>
    <n v="4"/>
  </r>
  <r>
    <s v="Call_7665"/>
    <s v="C0002"/>
    <n v="24"/>
    <x v="4"/>
    <d v="2023-04-21T00:00:00"/>
    <x v="61"/>
    <n v="4.8"/>
    <n v="2023"/>
    <s v="Friday"/>
    <x v="3"/>
    <n v="5"/>
  </r>
  <r>
    <s v="Call_7666"/>
    <s v="C0004"/>
    <n v="43"/>
    <x v="2"/>
    <d v="2023-04-22T00:00:00"/>
    <x v="0"/>
    <n v="4.7"/>
    <n v="2023"/>
    <s v="Saturday"/>
    <x v="2"/>
    <n v="5"/>
  </r>
  <r>
    <s v="Call_7667"/>
    <s v="C0014"/>
    <n v="95"/>
    <x v="1"/>
    <d v="2023-04-22T00:00:00"/>
    <x v="65"/>
    <n v="3.9"/>
    <n v="2023"/>
    <s v="Saturday"/>
    <x v="0"/>
    <n v="4"/>
  </r>
  <r>
    <s v="Call_7668"/>
    <s v="C0008"/>
    <n v="53"/>
    <x v="2"/>
    <d v="2023-04-22T00:00:00"/>
    <x v="27"/>
    <n v="4.3"/>
    <n v="2023"/>
    <s v="Saturday"/>
    <x v="2"/>
    <n v="4"/>
  </r>
  <r>
    <s v="Call_7669"/>
    <s v="C0004"/>
    <n v="113"/>
    <x v="2"/>
    <d v="2023-04-22T00:00:00"/>
    <x v="98"/>
    <n v="4"/>
    <n v="2023"/>
    <s v="Saturday"/>
    <x v="0"/>
    <n v="4"/>
  </r>
  <r>
    <s v="Call_7670"/>
    <s v="C0008"/>
    <n v="89"/>
    <x v="3"/>
    <d v="2023-04-22T00:00:00"/>
    <x v="86"/>
    <n v="4"/>
    <n v="2023"/>
    <s v="Saturday"/>
    <x v="0"/>
    <n v="4"/>
  </r>
  <r>
    <s v="Call_7671"/>
    <s v="C0010"/>
    <n v="84"/>
    <x v="0"/>
    <d v="2023-04-22T00:00:00"/>
    <x v="47"/>
    <n v="3.2"/>
    <n v="2023"/>
    <s v="Saturday"/>
    <x v="0"/>
    <n v="3"/>
  </r>
  <r>
    <s v="Call_7672"/>
    <s v="C0002"/>
    <n v="130"/>
    <x v="2"/>
    <d v="2023-04-23T00:00:00"/>
    <x v="31"/>
    <n v="3.8"/>
    <n v="2023"/>
    <s v="Sunday"/>
    <x v="1"/>
    <n v="4"/>
  </r>
  <r>
    <s v="Call_7673"/>
    <s v="C0014"/>
    <n v="163"/>
    <x v="3"/>
    <d v="2023-04-23T00:00:00"/>
    <x v="53"/>
    <n v="3.4"/>
    <n v="2023"/>
    <s v="Sunday"/>
    <x v="1"/>
    <n v="3"/>
  </r>
  <r>
    <s v="Call_7674"/>
    <s v="C0009"/>
    <n v="127"/>
    <x v="2"/>
    <d v="2023-04-23T00:00:00"/>
    <x v="42"/>
    <n v="3.2"/>
    <n v="2023"/>
    <s v="Sunday"/>
    <x v="1"/>
    <n v="3"/>
  </r>
  <r>
    <s v="Call_7675"/>
    <s v="C0004"/>
    <n v="50"/>
    <x v="2"/>
    <d v="2023-04-23T00:00:00"/>
    <x v="36"/>
    <n v="4.7"/>
    <n v="2023"/>
    <s v="Sunday"/>
    <x v="2"/>
    <n v="5"/>
  </r>
  <r>
    <s v="Call_7676"/>
    <s v="C0007"/>
    <n v="88"/>
    <x v="4"/>
    <d v="2023-04-23T00:00:00"/>
    <x v="18"/>
    <n v="4"/>
    <n v="2023"/>
    <s v="Sunday"/>
    <x v="0"/>
    <n v="4"/>
  </r>
  <r>
    <s v="Call_7677"/>
    <s v="C0004"/>
    <n v="139"/>
    <x v="1"/>
    <d v="2023-04-24T00:00:00"/>
    <x v="91"/>
    <n v="4.8"/>
    <n v="2023"/>
    <s v="Monday"/>
    <x v="1"/>
    <n v="5"/>
  </r>
  <r>
    <s v="Call_7678"/>
    <s v="C0014"/>
    <n v="111"/>
    <x v="2"/>
    <d v="2023-04-24T00:00:00"/>
    <x v="89"/>
    <n v="3.9"/>
    <n v="2023"/>
    <s v="Monday"/>
    <x v="0"/>
    <n v="4"/>
  </r>
  <r>
    <s v="Call_7679"/>
    <s v="C0005"/>
    <n v="115"/>
    <x v="1"/>
    <d v="2023-04-24T00:00:00"/>
    <x v="22"/>
    <n v="4.3"/>
    <n v="2023"/>
    <s v="Monday"/>
    <x v="0"/>
    <n v="4"/>
  </r>
  <r>
    <s v="Call_7680"/>
    <s v="C0008"/>
    <n v="26"/>
    <x v="3"/>
    <d v="2023-04-24T00:00:00"/>
    <x v="57"/>
    <n v="4.2"/>
    <n v="2023"/>
    <s v="Monday"/>
    <x v="3"/>
    <n v="4"/>
  </r>
  <r>
    <s v="Call_7681"/>
    <s v="C0010"/>
    <n v="131"/>
    <x v="4"/>
    <d v="2023-04-24T00:00:00"/>
    <x v="102"/>
    <n v="4.9000000000000004"/>
    <n v="2023"/>
    <s v="Monday"/>
    <x v="1"/>
    <n v="5"/>
  </r>
  <r>
    <s v="Call_7682"/>
    <s v="C0005"/>
    <n v="27"/>
    <x v="4"/>
    <d v="2023-04-24T00:00:00"/>
    <x v="61"/>
    <n v="4"/>
    <n v="2023"/>
    <s v="Monday"/>
    <x v="3"/>
    <n v="4"/>
  </r>
  <r>
    <s v="Call_7683"/>
    <s v="C0012"/>
    <n v="75"/>
    <x v="2"/>
    <d v="2023-04-24T00:00:00"/>
    <x v="57"/>
    <n v="4.9000000000000004"/>
    <n v="2023"/>
    <s v="Monday"/>
    <x v="0"/>
    <n v="5"/>
  </r>
  <r>
    <s v="Call_7684"/>
    <s v="C0006"/>
    <n v="123"/>
    <x v="4"/>
    <d v="2023-04-24T00:00:00"/>
    <x v="0"/>
    <n v="3.6"/>
    <n v="2023"/>
    <s v="Monday"/>
    <x v="1"/>
    <n v="4"/>
  </r>
  <r>
    <s v="Call_7685"/>
    <s v="C0003"/>
    <n v="129"/>
    <x v="4"/>
    <d v="2023-04-25T00:00:00"/>
    <x v="89"/>
    <n v="4.0999999999999996"/>
    <n v="2023"/>
    <s v="Tuesday"/>
    <x v="1"/>
    <n v="4"/>
  </r>
  <r>
    <s v="Call_7686"/>
    <s v="C0012"/>
    <n v="124"/>
    <x v="1"/>
    <d v="2023-04-25T00:00:00"/>
    <x v="32"/>
    <n v="4.9000000000000004"/>
    <n v="2023"/>
    <s v="Tuesday"/>
    <x v="1"/>
    <n v="5"/>
  </r>
  <r>
    <s v="Call_7687"/>
    <s v="C0005"/>
    <n v="108"/>
    <x v="1"/>
    <d v="2023-04-25T00:00:00"/>
    <x v="67"/>
    <n v="3.9"/>
    <n v="2023"/>
    <s v="Tuesday"/>
    <x v="0"/>
    <n v="4"/>
  </r>
  <r>
    <s v="Call_7688"/>
    <s v="C0011"/>
    <n v="15"/>
    <x v="1"/>
    <d v="2023-04-25T00:00:00"/>
    <x v="4"/>
    <n v="4.0999999999999996"/>
    <n v="2023"/>
    <s v="Tuesday"/>
    <x v="3"/>
    <n v="4"/>
  </r>
  <r>
    <s v="Call_7689"/>
    <s v="C0005"/>
    <n v="66"/>
    <x v="1"/>
    <d v="2023-04-25T00:00:00"/>
    <x v="71"/>
    <n v="3.8"/>
    <n v="2023"/>
    <s v="Tuesday"/>
    <x v="0"/>
    <n v="4"/>
  </r>
  <r>
    <s v="Call_7690"/>
    <s v="C0007"/>
    <n v="126"/>
    <x v="2"/>
    <d v="2023-04-26T00:00:00"/>
    <x v="97"/>
    <n v="4.8"/>
    <n v="2023"/>
    <s v="Wednesday"/>
    <x v="1"/>
    <n v="5"/>
  </r>
  <r>
    <s v="Call_7691"/>
    <s v="C0012"/>
    <n v="26"/>
    <x v="0"/>
    <d v="2023-04-26T00:00:00"/>
    <x v="90"/>
    <n v="4.7"/>
    <n v="2023"/>
    <s v="Wednesday"/>
    <x v="3"/>
    <n v="5"/>
  </r>
  <r>
    <s v="Call_7692"/>
    <s v="C0002"/>
    <n v="105"/>
    <x v="2"/>
    <d v="2023-04-26T00:00:00"/>
    <x v="2"/>
    <n v="4.2"/>
    <n v="2023"/>
    <s v="Wednesday"/>
    <x v="0"/>
    <n v="4"/>
  </r>
  <r>
    <s v="Call_7693"/>
    <s v="C0002"/>
    <n v="31"/>
    <x v="2"/>
    <d v="2023-04-26T00:00:00"/>
    <x v="78"/>
    <n v="3.2"/>
    <n v="2023"/>
    <s v="Wednesday"/>
    <x v="2"/>
    <n v="3"/>
  </r>
  <r>
    <s v="Call_7694"/>
    <s v="C0005"/>
    <n v="109"/>
    <x v="1"/>
    <d v="2023-04-26T00:00:00"/>
    <x v="41"/>
    <n v="3.4"/>
    <n v="2023"/>
    <s v="Wednesday"/>
    <x v="0"/>
    <n v="3"/>
  </r>
  <r>
    <s v="Call_7695"/>
    <s v="C0003"/>
    <n v="113"/>
    <x v="3"/>
    <d v="2023-04-27T00:00:00"/>
    <x v="28"/>
    <n v="4.5999999999999996"/>
    <n v="2023"/>
    <s v="Thursday"/>
    <x v="0"/>
    <n v="5"/>
  </r>
  <r>
    <s v="Call_7696"/>
    <s v="C0007"/>
    <n v="101"/>
    <x v="0"/>
    <d v="2023-04-27T00:00:00"/>
    <x v="94"/>
    <n v="1.9"/>
    <n v="2023"/>
    <s v="Thursday"/>
    <x v="0"/>
    <n v="2"/>
  </r>
  <r>
    <s v="Call_7697"/>
    <s v="C0014"/>
    <n v="156"/>
    <x v="0"/>
    <d v="2023-04-27T00:00:00"/>
    <x v="28"/>
    <n v="3.3"/>
    <n v="2023"/>
    <s v="Thursday"/>
    <x v="1"/>
    <n v="3"/>
  </r>
  <r>
    <s v="Call_7698"/>
    <s v="C0005"/>
    <n v="145"/>
    <x v="3"/>
    <d v="2023-04-28T00:00:00"/>
    <x v="27"/>
    <n v="3.1"/>
    <n v="2023"/>
    <s v="Friday"/>
    <x v="1"/>
    <n v="3"/>
  </r>
  <r>
    <s v="Call_7699"/>
    <s v="C0006"/>
    <n v="36"/>
    <x v="1"/>
    <d v="2023-04-28T00:00:00"/>
    <x v="94"/>
    <n v="4.8"/>
    <n v="2023"/>
    <s v="Friday"/>
    <x v="2"/>
    <n v="5"/>
  </r>
  <r>
    <s v="Call_7700"/>
    <s v="C0002"/>
    <n v="135"/>
    <x v="4"/>
    <d v="2023-04-29T00:00:00"/>
    <x v="29"/>
    <n v="3.3"/>
    <n v="2023"/>
    <s v="Saturday"/>
    <x v="1"/>
    <n v="3"/>
  </r>
  <r>
    <s v="Call_7701"/>
    <s v="C0007"/>
    <n v="81"/>
    <x v="1"/>
    <d v="2023-04-29T00:00:00"/>
    <x v="38"/>
    <n v="2.9"/>
    <n v="2023"/>
    <s v="Saturday"/>
    <x v="0"/>
    <n v="3"/>
  </r>
  <r>
    <s v="Call_7702"/>
    <s v="C0007"/>
    <n v="81"/>
    <x v="3"/>
    <d v="2023-04-29T00:00:00"/>
    <x v="45"/>
    <n v="2.4"/>
    <n v="2023"/>
    <s v="Saturday"/>
    <x v="0"/>
    <n v="2"/>
  </r>
  <r>
    <s v="Call_7703"/>
    <s v="C0009"/>
    <n v="93"/>
    <x v="2"/>
    <d v="2023-04-29T00:00:00"/>
    <x v="69"/>
    <n v="4.5999999999999996"/>
    <n v="2023"/>
    <s v="Saturday"/>
    <x v="0"/>
    <n v="5"/>
  </r>
  <r>
    <s v="Call_7704"/>
    <s v="C0005"/>
    <n v="14"/>
    <x v="1"/>
    <d v="2023-04-29T00:00:00"/>
    <x v="11"/>
    <n v="4.8"/>
    <n v="2023"/>
    <s v="Saturday"/>
    <x v="3"/>
    <n v="5"/>
  </r>
  <r>
    <s v="Call_7705"/>
    <s v="C0002"/>
    <n v="95"/>
    <x v="3"/>
    <d v="2023-04-30T00:00:00"/>
    <x v="75"/>
    <n v="4.8"/>
    <n v="2023"/>
    <s v="Sunday"/>
    <x v="0"/>
    <n v="5"/>
  </r>
  <r>
    <s v="Call_7706"/>
    <s v="C0009"/>
    <n v="81"/>
    <x v="3"/>
    <d v="2023-04-30T00:00:00"/>
    <x v="5"/>
    <n v="3.6"/>
    <n v="2023"/>
    <s v="Sunday"/>
    <x v="0"/>
    <n v="4"/>
  </r>
  <r>
    <s v="Call_7707"/>
    <s v="C0008"/>
    <n v="60"/>
    <x v="1"/>
    <d v="2023-05-01T00:00:00"/>
    <x v="102"/>
    <n v="4.8"/>
    <n v="2023"/>
    <s v="Monday"/>
    <x v="2"/>
    <n v="5"/>
  </r>
  <r>
    <s v="Call_7708"/>
    <s v="C0013"/>
    <n v="137"/>
    <x v="2"/>
    <d v="2023-05-01T00:00:00"/>
    <x v="88"/>
    <n v="4.2"/>
    <n v="2023"/>
    <s v="Monday"/>
    <x v="1"/>
    <n v="4"/>
  </r>
  <r>
    <s v="Call_7709"/>
    <s v="C0004"/>
    <n v="112"/>
    <x v="4"/>
    <d v="2023-05-01T00:00:00"/>
    <x v="59"/>
    <n v="2.6"/>
    <n v="2023"/>
    <s v="Monday"/>
    <x v="0"/>
    <n v="3"/>
  </r>
  <r>
    <s v="Call_7710"/>
    <s v="C0002"/>
    <n v="76"/>
    <x v="0"/>
    <d v="2023-05-01T00:00:00"/>
    <x v="21"/>
    <n v="3.7"/>
    <n v="2023"/>
    <s v="Monday"/>
    <x v="0"/>
    <n v="4"/>
  </r>
  <r>
    <s v="Call_7711"/>
    <s v="C0015"/>
    <n v="73"/>
    <x v="1"/>
    <d v="2023-05-01T00:00:00"/>
    <x v="2"/>
    <n v="4.8"/>
    <n v="2023"/>
    <s v="Monday"/>
    <x v="0"/>
    <n v="5"/>
  </r>
  <r>
    <s v="Call_7712"/>
    <s v="C0010"/>
    <n v="119"/>
    <x v="2"/>
    <d v="2023-05-01T00:00:00"/>
    <x v="7"/>
    <n v="4.7"/>
    <n v="2023"/>
    <s v="Monday"/>
    <x v="0"/>
    <n v="5"/>
  </r>
  <r>
    <s v="Call_7713"/>
    <s v="C0003"/>
    <n v="135"/>
    <x v="3"/>
    <d v="2023-05-02T00:00:00"/>
    <x v="72"/>
    <n v="4.0999999999999996"/>
    <n v="2023"/>
    <s v="Tuesday"/>
    <x v="1"/>
    <n v="4"/>
  </r>
  <r>
    <s v="Call_7714"/>
    <s v="C0013"/>
    <n v="41"/>
    <x v="4"/>
    <d v="2023-05-02T00:00:00"/>
    <x v="26"/>
    <n v="3.2"/>
    <n v="2023"/>
    <s v="Tuesday"/>
    <x v="2"/>
    <n v="3"/>
  </r>
  <r>
    <s v="Call_7715"/>
    <s v="C0005"/>
    <n v="35"/>
    <x v="3"/>
    <d v="2023-05-03T00:00:00"/>
    <x v="46"/>
    <n v="4.3"/>
    <n v="2023"/>
    <s v="Wednesday"/>
    <x v="2"/>
    <n v="4"/>
  </r>
  <r>
    <s v="Call_7716"/>
    <s v="C0003"/>
    <n v="96"/>
    <x v="1"/>
    <d v="2023-05-03T00:00:00"/>
    <x v="9"/>
    <n v="0.7"/>
    <n v="2023"/>
    <s v="Wednesday"/>
    <x v="0"/>
    <n v="1"/>
  </r>
  <r>
    <s v="Call_7717"/>
    <s v="C0009"/>
    <n v="61"/>
    <x v="4"/>
    <d v="2023-05-03T00:00:00"/>
    <x v="99"/>
    <n v="3.7"/>
    <n v="2023"/>
    <s v="Wednesday"/>
    <x v="0"/>
    <n v="4"/>
  </r>
  <r>
    <s v="Call_7718"/>
    <s v="C0003"/>
    <n v="91"/>
    <x v="4"/>
    <d v="2023-05-03T00:00:00"/>
    <x v="55"/>
    <n v="3.9"/>
    <n v="2023"/>
    <s v="Wednesday"/>
    <x v="0"/>
    <n v="4"/>
  </r>
  <r>
    <s v="Call_7719"/>
    <s v="C0001"/>
    <n v="30"/>
    <x v="4"/>
    <d v="2023-05-04T00:00:00"/>
    <x v="49"/>
    <n v="4.5"/>
    <n v="2023"/>
    <s v="Thursday"/>
    <x v="3"/>
    <n v="5"/>
  </r>
  <r>
    <s v="Call_7720"/>
    <s v="C0008"/>
    <n v="111"/>
    <x v="2"/>
    <d v="2023-05-04T00:00:00"/>
    <x v="44"/>
    <n v="2.8"/>
    <n v="2023"/>
    <s v="Thursday"/>
    <x v="0"/>
    <n v="3"/>
  </r>
  <r>
    <s v="Call_7721"/>
    <s v="C0009"/>
    <n v="81"/>
    <x v="1"/>
    <d v="2023-05-04T00:00:00"/>
    <x v="19"/>
    <n v="4.9000000000000004"/>
    <n v="2023"/>
    <s v="Thursday"/>
    <x v="0"/>
    <n v="5"/>
  </r>
  <r>
    <s v="Call_7722"/>
    <s v="C0002"/>
    <n v="40"/>
    <x v="3"/>
    <d v="2023-05-06T00:00:00"/>
    <x v="10"/>
    <n v="4.2"/>
    <n v="2023"/>
    <s v="Saturday"/>
    <x v="2"/>
    <n v="4"/>
  </r>
  <r>
    <s v="Call_7723"/>
    <s v="C0008"/>
    <n v="143"/>
    <x v="3"/>
    <d v="2023-05-06T00:00:00"/>
    <x v="48"/>
    <n v="4.4000000000000004"/>
    <n v="2023"/>
    <s v="Saturday"/>
    <x v="1"/>
    <n v="4"/>
  </r>
  <r>
    <s v="Call_7724"/>
    <s v="C0002"/>
    <n v="70"/>
    <x v="3"/>
    <d v="2023-05-07T00:00:00"/>
    <x v="85"/>
    <n v="3.5"/>
    <n v="2023"/>
    <s v="Sunday"/>
    <x v="0"/>
    <n v="4"/>
  </r>
  <r>
    <s v="Call_7725"/>
    <s v="C0015"/>
    <n v="137"/>
    <x v="3"/>
    <d v="2023-05-07T00:00:00"/>
    <x v="85"/>
    <n v="4.7"/>
    <n v="2023"/>
    <s v="Sunday"/>
    <x v="1"/>
    <n v="5"/>
  </r>
  <r>
    <s v="Call_7726"/>
    <s v="C0003"/>
    <n v="52"/>
    <x v="1"/>
    <d v="2023-05-08T00:00:00"/>
    <x v="64"/>
    <n v="4.9000000000000004"/>
    <n v="2023"/>
    <s v="Monday"/>
    <x v="2"/>
    <n v="5"/>
  </r>
  <r>
    <s v="Call_7727"/>
    <s v="C0004"/>
    <n v="31"/>
    <x v="2"/>
    <d v="2023-05-08T00:00:00"/>
    <x v="67"/>
    <n v="4.5"/>
    <n v="2023"/>
    <s v="Monday"/>
    <x v="2"/>
    <n v="5"/>
  </r>
  <r>
    <s v="Call_7728"/>
    <s v="C0003"/>
    <n v="114"/>
    <x v="4"/>
    <d v="2023-05-08T00:00:00"/>
    <x v="7"/>
    <n v="4.9000000000000004"/>
    <n v="2023"/>
    <s v="Monday"/>
    <x v="0"/>
    <n v="5"/>
  </r>
  <r>
    <s v="Call_7729"/>
    <s v="C0015"/>
    <n v="73"/>
    <x v="0"/>
    <d v="2023-05-08T00:00:00"/>
    <x v="90"/>
    <n v="3.6"/>
    <n v="2023"/>
    <s v="Monday"/>
    <x v="0"/>
    <n v="4"/>
  </r>
  <r>
    <s v="Call_7730"/>
    <s v="C0009"/>
    <n v="25"/>
    <x v="2"/>
    <d v="2023-05-08T00:00:00"/>
    <x v="68"/>
    <n v="3.8"/>
    <n v="2023"/>
    <s v="Monday"/>
    <x v="3"/>
    <n v="4"/>
  </r>
  <r>
    <s v="Call_7731"/>
    <s v="C0011"/>
    <n v="44"/>
    <x v="4"/>
    <d v="2023-05-08T00:00:00"/>
    <x v="23"/>
    <n v="3.5"/>
    <n v="2023"/>
    <s v="Monday"/>
    <x v="2"/>
    <n v="4"/>
  </r>
  <r>
    <s v="Call_7732"/>
    <s v="C0006"/>
    <n v="34"/>
    <x v="1"/>
    <d v="2023-05-09T00:00:00"/>
    <x v="14"/>
    <n v="4.8"/>
    <n v="2023"/>
    <s v="Tuesday"/>
    <x v="2"/>
    <n v="5"/>
  </r>
  <r>
    <s v="Call_7733"/>
    <s v="C0008"/>
    <n v="89"/>
    <x v="3"/>
    <d v="2023-05-10T00:00:00"/>
    <x v="92"/>
    <n v="4.5"/>
    <n v="2023"/>
    <s v="Wednesday"/>
    <x v="0"/>
    <n v="5"/>
  </r>
  <r>
    <s v="Call_7734"/>
    <s v="C0010"/>
    <n v="54"/>
    <x v="2"/>
    <d v="2023-05-11T00:00:00"/>
    <x v="4"/>
    <n v="3.3"/>
    <n v="2023"/>
    <s v="Thursday"/>
    <x v="2"/>
    <n v="3"/>
  </r>
  <r>
    <s v="Call_7735"/>
    <s v="C0005"/>
    <n v="25"/>
    <x v="2"/>
    <d v="2023-05-12T00:00:00"/>
    <x v="79"/>
    <n v="3.2"/>
    <n v="2023"/>
    <s v="Friday"/>
    <x v="3"/>
    <n v="3"/>
  </r>
  <r>
    <s v="Call_7736"/>
    <s v="C0013"/>
    <n v="91"/>
    <x v="3"/>
    <d v="2023-05-12T00:00:00"/>
    <x v="103"/>
    <n v="4.9000000000000004"/>
    <n v="2023"/>
    <s v="Friday"/>
    <x v="0"/>
    <n v="5"/>
  </r>
  <r>
    <s v="Call_7737"/>
    <s v="C0011"/>
    <n v="144"/>
    <x v="4"/>
    <d v="2023-05-12T00:00:00"/>
    <x v="53"/>
    <n v="4.8"/>
    <n v="2023"/>
    <s v="Friday"/>
    <x v="1"/>
    <n v="5"/>
  </r>
  <r>
    <s v="Call_7738"/>
    <s v="C0013"/>
    <n v="81"/>
    <x v="1"/>
    <d v="2023-05-14T00:00:00"/>
    <x v="62"/>
    <n v="1.3"/>
    <n v="2023"/>
    <s v="Sunday"/>
    <x v="0"/>
    <n v="1"/>
  </r>
  <r>
    <s v="Call_7739"/>
    <s v="C0001"/>
    <n v="92"/>
    <x v="2"/>
    <d v="2023-05-14T00:00:00"/>
    <x v="85"/>
    <n v="3.1"/>
    <n v="2023"/>
    <s v="Sunday"/>
    <x v="0"/>
    <n v="3"/>
  </r>
  <r>
    <s v="Call_7740"/>
    <s v="C0005"/>
    <n v="115"/>
    <x v="3"/>
    <d v="2023-05-14T00:00:00"/>
    <x v="35"/>
    <n v="3.4"/>
    <n v="2023"/>
    <s v="Sunday"/>
    <x v="0"/>
    <n v="3"/>
  </r>
  <r>
    <s v="Call_7741"/>
    <s v="C0007"/>
    <n v="56"/>
    <x v="3"/>
    <d v="2023-05-15T00:00:00"/>
    <x v="70"/>
    <n v="4.5999999999999996"/>
    <n v="2023"/>
    <s v="Monday"/>
    <x v="2"/>
    <n v="5"/>
  </r>
  <r>
    <s v="Call_7742"/>
    <s v="C0004"/>
    <n v="154"/>
    <x v="2"/>
    <d v="2023-05-15T00:00:00"/>
    <x v="59"/>
    <n v="4.3"/>
    <n v="2023"/>
    <s v="Monday"/>
    <x v="1"/>
    <n v="4"/>
  </r>
  <r>
    <s v="Call_7743"/>
    <s v="C0008"/>
    <n v="51"/>
    <x v="3"/>
    <d v="2023-05-16T00:00:00"/>
    <x v="83"/>
    <n v="2.7"/>
    <n v="2023"/>
    <s v="Tuesday"/>
    <x v="2"/>
    <n v="3"/>
  </r>
  <r>
    <s v="Call_7744"/>
    <s v="C0006"/>
    <n v="21"/>
    <x v="1"/>
    <d v="2023-05-16T00:00:00"/>
    <x v="23"/>
    <n v="4.2"/>
    <n v="2023"/>
    <s v="Tuesday"/>
    <x v="3"/>
    <n v="4"/>
  </r>
  <r>
    <s v="Call_7745"/>
    <s v="C0005"/>
    <n v="80"/>
    <x v="3"/>
    <d v="2023-05-17T00:00:00"/>
    <x v="98"/>
    <n v="4.9000000000000004"/>
    <n v="2023"/>
    <s v="Wednesday"/>
    <x v="0"/>
    <n v="5"/>
  </r>
  <r>
    <s v="Call_7746"/>
    <s v="C0008"/>
    <n v="139"/>
    <x v="2"/>
    <d v="2023-05-17T00:00:00"/>
    <x v="96"/>
    <n v="3.2"/>
    <n v="2023"/>
    <s v="Wednesday"/>
    <x v="1"/>
    <n v="3"/>
  </r>
  <r>
    <s v="Call_7747"/>
    <s v="C0002"/>
    <n v="50"/>
    <x v="1"/>
    <d v="2023-05-17T00:00:00"/>
    <x v="30"/>
    <n v="4.7"/>
    <n v="2023"/>
    <s v="Wednesday"/>
    <x v="2"/>
    <n v="5"/>
  </r>
  <r>
    <s v="Call_7748"/>
    <s v="C0005"/>
    <n v="88"/>
    <x v="3"/>
    <d v="2023-05-17T00:00:00"/>
    <x v="38"/>
    <n v="4.3"/>
    <n v="2023"/>
    <s v="Wednesday"/>
    <x v="0"/>
    <n v="4"/>
  </r>
  <r>
    <s v="Call_7749"/>
    <s v="C0010"/>
    <n v="19"/>
    <x v="4"/>
    <d v="2023-05-18T00:00:00"/>
    <x v="32"/>
    <n v="4.3"/>
    <n v="2023"/>
    <s v="Thursday"/>
    <x v="3"/>
    <n v="4"/>
  </r>
  <r>
    <s v="Call_7750"/>
    <s v="C0009"/>
    <n v="104"/>
    <x v="4"/>
    <d v="2023-05-19T00:00:00"/>
    <x v="12"/>
    <n v="3.7"/>
    <n v="2023"/>
    <s v="Friday"/>
    <x v="0"/>
    <n v="4"/>
  </r>
  <r>
    <s v="Call_7751"/>
    <s v="C0004"/>
    <n v="67"/>
    <x v="2"/>
    <d v="2023-05-21T00:00:00"/>
    <x v="86"/>
    <n v="4.7"/>
    <n v="2023"/>
    <s v="Sunday"/>
    <x v="0"/>
    <n v="5"/>
  </r>
  <r>
    <s v="Call_7752"/>
    <s v="C0012"/>
    <n v="107"/>
    <x v="4"/>
    <d v="2023-05-21T00:00:00"/>
    <x v="99"/>
    <n v="4.9000000000000004"/>
    <n v="2023"/>
    <s v="Sunday"/>
    <x v="0"/>
    <n v="5"/>
  </r>
  <r>
    <s v="Call_7753"/>
    <s v="C0012"/>
    <n v="93"/>
    <x v="4"/>
    <d v="2023-05-21T00:00:00"/>
    <x v="0"/>
    <n v="3.9"/>
    <n v="2023"/>
    <s v="Sunday"/>
    <x v="0"/>
    <n v="4"/>
  </r>
  <r>
    <s v="Call_7754"/>
    <s v="C0012"/>
    <n v="117"/>
    <x v="2"/>
    <d v="2023-05-21T00:00:00"/>
    <x v="44"/>
    <n v="4.5"/>
    <n v="2023"/>
    <s v="Sunday"/>
    <x v="0"/>
    <n v="5"/>
  </r>
  <r>
    <s v="Call_7755"/>
    <s v="C0002"/>
    <n v="76"/>
    <x v="3"/>
    <d v="2023-05-22T00:00:00"/>
    <x v="77"/>
    <n v="4.5999999999999996"/>
    <n v="2023"/>
    <s v="Monday"/>
    <x v="0"/>
    <n v="5"/>
  </r>
  <r>
    <s v="Call_7756"/>
    <s v="C0010"/>
    <n v="64"/>
    <x v="4"/>
    <d v="2023-05-22T00:00:00"/>
    <x v="32"/>
    <n v="3.3"/>
    <n v="2023"/>
    <s v="Monday"/>
    <x v="0"/>
    <n v="3"/>
  </r>
  <r>
    <s v="Call_7757"/>
    <s v="C0011"/>
    <n v="33"/>
    <x v="4"/>
    <d v="2023-05-22T00:00:00"/>
    <x v="16"/>
    <n v="3.8"/>
    <n v="2023"/>
    <s v="Monday"/>
    <x v="2"/>
    <n v="4"/>
  </r>
  <r>
    <s v="Call_7758"/>
    <s v="C0012"/>
    <n v="115"/>
    <x v="2"/>
    <d v="2023-05-22T00:00:00"/>
    <x v="28"/>
    <n v="4.7"/>
    <n v="2023"/>
    <s v="Monday"/>
    <x v="0"/>
    <n v="5"/>
  </r>
  <r>
    <s v="Call_7759"/>
    <s v="C0014"/>
    <n v="155"/>
    <x v="3"/>
    <d v="2023-05-23T00:00:00"/>
    <x v="64"/>
    <n v="4"/>
    <n v="2023"/>
    <s v="Tuesday"/>
    <x v="1"/>
    <n v="4"/>
  </r>
  <r>
    <s v="Call_7760"/>
    <s v="C0004"/>
    <n v="117"/>
    <x v="3"/>
    <d v="2023-05-23T00:00:00"/>
    <x v="66"/>
    <n v="4.7"/>
    <n v="2023"/>
    <s v="Tuesday"/>
    <x v="0"/>
    <n v="5"/>
  </r>
  <r>
    <s v="Call_7761"/>
    <s v="C0008"/>
    <n v="63"/>
    <x v="3"/>
    <d v="2023-05-23T00:00:00"/>
    <x v="24"/>
    <n v="2.5"/>
    <n v="2023"/>
    <s v="Tuesday"/>
    <x v="0"/>
    <n v="3"/>
  </r>
  <r>
    <s v="Call_7762"/>
    <s v="C0010"/>
    <n v="59"/>
    <x v="0"/>
    <d v="2023-05-24T00:00:00"/>
    <x v="26"/>
    <n v="3.6"/>
    <n v="2023"/>
    <s v="Wednesday"/>
    <x v="2"/>
    <n v="4"/>
  </r>
  <r>
    <s v="Call_7763"/>
    <s v="C0006"/>
    <n v="133"/>
    <x v="4"/>
    <d v="2023-05-24T00:00:00"/>
    <x v="4"/>
    <n v="3.7"/>
    <n v="2023"/>
    <s v="Wednesday"/>
    <x v="1"/>
    <n v="4"/>
  </r>
  <r>
    <s v="Call_7764"/>
    <s v="C0001"/>
    <n v="101"/>
    <x v="1"/>
    <d v="2023-05-24T00:00:00"/>
    <x v="49"/>
    <n v="3.9"/>
    <n v="2023"/>
    <s v="Wednesday"/>
    <x v="0"/>
    <n v="4"/>
  </r>
  <r>
    <s v="Call_7765"/>
    <s v="C0013"/>
    <n v="151"/>
    <x v="3"/>
    <d v="2023-05-25T00:00:00"/>
    <x v="26"/>
    <n v="3.7"/>
    <n v="2023"/>
    <s v="Thursday"/>
    <x v="1"/>
    <n v="4"/>
  </r>
  <r>
    <s v="Call_7766"/>
    <s v="C0011"/>
    <n v="146"/>
    <x v="4"/>
    <d v="2023-05-25T00:00:00"/>
    <x v="26"/>
    <n v="4.3"/>
    <n v="2023"/>
    <s v="Thursday"/>
    <x v="1"/>
    <n v="4"/>
  </r>
  <r>
    <s v="Call_7767"/>
    <s v="C0008"/>
    <n v="148"/>
    <x v="4"/>
    <d v="2023-05-25T00:00:00"/>
    <x v="73"/>
    <n v="2.9"/>
    <n v="2023"/>
    <s v="Thursday"/>
    <x v="1"/>
    <n v="3"/>
  </r>
  <r>
    <s v="Call_7768"/>
    <s v="C0013"/>
    <n v="81"/>
    <x v="4"/>
    <d v="2023-05-25T00:00:00"/>
    <x v="93"/>
    <n v="4.3"/>
    <n v="2023"/>
    <s v="Thursday"/>
    <x v="0"/>
    <n v="4"/>
  </r>
  <r>
    <s v="Call_7769"/>
    <s v="C0009"/>
    <n v="115"/>
    <x v="4"/>
    <d v="2023-05-25T00:00:00"/>
    <x v="45"/>
    <n v="4.9000000000000004"/>
    <n v="2023"/>
    <s v="Thursday"/>
    <x v="0"/>
    <n v="5"/>
  </r>
  <r>
    <s v="Call_7770"/>
    <s v="C0009"/>
    <n v="117"/>
    <x v="3"/>
    <d v="2023-05-25T00:00:00"/>
    <x v="45"/>
    <n v="4"/>
    <n v="2023"/>
    <s v="Thursday"/>
    <x v="0"/>
    <n v="4"/>
  </r>
  <r>
    <s v="Call_7771"/>
    <s v="C0001"/>
    <n v="110"/>
    <x v="2"/>
    <d v="2023-05-26T00:00:00"/>
    <x v="95"/>
    <n v="4"/>
    <n v="2023"/>
    <s v="Friday"/>
    <x v="0"/>
    <n v="4"/>
  </r>
  <r>
    <s v="Call_7772"/>
    <s v="C0002"/>
    <n v="103"/>
    <x v="0"/>
    <d v="2023-05-26T00:00:00"/>
    <x v="53"/>
    <n v="3.4"/>
    <n v="2023"/>
    <s v="Friday"/>
    <x v="0"/>
    <n v="3"/>
  </r>
  <r>
    <s v="Call_7773"/>
    <s v="C0014"/>
    <n v="45"/>
    <x v="0"/>
    <d v="2023-05-26T00:00:00"/>
    <x v="1"/>
    <n v="3.9"/>
    <n v="2023"/>
    <s v="Friday"/>
    <x v="2"/>
    <n v="4"/>
  </r>
  <r>
    <s v="Call_7774"/>
    <s v="C0001"/>
    <n v="110"/>
    <x v="1"/>
    <d v="2023-05-26T00:00:00"/>
    <x v="34"/>
    <n v="2.1"/>
    <n v="2023"/>
    <s v="Friday"/>
    <x v="0"/>
    <n v="2"/>
  </r>
  <r>
    <s v="Call_7775"/>
    <s v="C0010"/>
    <n v="43"/>
    <x v="2"/>
    <d v="2023-05-26T00:00:00"/>
    <x v="64"/>
    <n v="4.9000000000000004"/>
    <n v="2023"/>
    <s v="Friday"/>
    <x v="2"/>
    <n v="5"/>
  </r>
  <r>
    <s v="Call_7776"/>
    <s v="C0001"/>
    <n v="104"/>
    <x v="3"/>
    <d v="2023-05-27T00:00:00"/>
    <x v="36"/>
    <n v="3.4"/>
    <n v="2023"/>
    <s v="Saturday"/>
    <x v="0"/>
    <n v="3"/>
  </r>
  <r>
    <s v="Call_7777"/>
    <s v="C0001"/>
    <n v="101"/>
    <x v="3"/>
    <d v="2023-05-27T00:00:00"/>
    <x v="101"/>
    <n v="5"/>
    <n v="2023"/>
    <s v="Saturday"/>
    <x v="0"/>
    <n v="5"/>
  </r>
  <r>
    <s v="Call_7778"/>
    <s v="C0003"/>
    <n v="55"/>
    <x v="2"/>
    <d v="2023-05-28T00:00:00"/>
    <x v="98"/>
    <n v="4.5"/>
    <n v="2023"/>
    <s v="Sunday"/>
    <x v="2"/>
    <n v="5"/>
  </r>
  <r>
    <s v="Call_7779"/>
    <s v="C0013"/>
    <n v="40"/>
    <x v="0"/>
    <d v="2023-05-28T00:00:00"/>
    <x v="93"/>
    <n v="2.6"/>
    <n v="2023"/>
    <s v="Sunday"/>
    <x v="2"/>
    <n v="3"/>
  </r>
  <r>
    <s v="Call_7780"/>
    <s v="C0010"/>
    <n v="122"/>
    <x v="4"/>
    <d v="2023-05-28T00:00:00"/>
    <x v="82"/>
    <n v="4.2"/>
    <n v="2023"/>
    <s v="Sunday"/>
    <x v="1"/>
    <n v="4"/>
  </r>
  <r>
    <s v="Call_7781"/>
    <s v="C0011"/>
    <n v="98"/>
    <x v="3"/>
    <d v="2023-05-29T00:00:00"/>
    <x v="56"/>
    <n v="4.5"/>
    <n v="2023"/>
    <s v="Monday"/>
    <x v="0"/>
    <n v="5"/>
  </r>
  <r>
    <s v="Call_7782"/>
    <s v="C0009"/>
    <n v="110"/>
    <x v="0"/>
    <d v="2023-05-29T00:00:00"/>
    <x v="62"/>
    <n v="4.4000000000000004"/>
    <n v="2023"/>
    <s v="Monday"/>
    <x v="0"/>
    <n v="4"/>
  </r>
  <r>
    <s v="Call_7783"/>
    <s v="C0009"/>
    <n v="62"/>
    <x v="2"/>
    <d v="2023-05-30T00:00:00"/>
    <x v="29"/>
    <n v="3.5"/>
    <n v="2023"/>
    <s v="Tuesday"/>
    <x v="0"/>
    <n v="4"/>
  </r>
  <r>
    <s v="Call_7784"/>
    <s v="C0010"/>
    <n v="134"/>
    <x v="4"/>
    <d v="2023-05-30T00:00:00"/>
    <x v="31"/>
    <n v="3"/>
    <n v="2023"/>
    <s v="Tuesday"/>
    <x v="1"/>
    <n v="3"/>
  </r>
  <r>
    <s v="Call_7785"/>
    <s v="C0015"/>
    <n v="94"/>
    <x v="1"/>
    <d v="2023-05-30T00:00:00"/>
    <x v="67"/>
    <n v="4.7"/>
    <n v="2023"/>
    <s v="Tuesday"/>
    <x v="0"/>
    <n v="5"/>
  </r>
  <r>
    <s v="Call_7786"/>
    <s v="C0007"/>
    <n v="63"/>
    <x v="0"/>
    <d v="2023-05-30T00:00:00"/>
    <x v="85"/>
    <n v="3"/>
    <n v="2023"/>
    <s v="Tuesday"/>
    <x v="0"/>
    <n v="3"/>
  </r>
  <r>
    <s v="Call_7787"/>
    <s v="C0006"/>
    <n v="95"/>
    <x v="4"/>
    <d v="2023-05-30T00:00:00"/>
    <x v="33"/>
    <n v="3.6"/>
    <n v="2023"/>
    <s v="Tuesday"/>
    <x v="0"/>
    <n v="4"/>
  </r>
  <r>
    <s v="Call_7788"/>
    <s v="C0010"/>
    <n v="106"/>
    <x v="4"/>
    <d v="2023-05-31T00:00:00"/>
    <x v="31"/>
    <n v="4.0999999999999996"/>
    <n v="2023"/>
    <s v="Wednesday"/>
    <x v="0"/>
    <n v="4"/>
  </r>
  <r>
    <s v="Call_7789"/>
    <s v="C0014"/>
    <n v="94"/>
    <x v="1"/>
    <d v="2023-05-31T00:00:00"/>
    <x v="62"/>
    <n v="3.7"/>
    <n v="2023"/>
    <s v="Wednesday"/>
    <x v="0"/>
    <n v="4"/>
  </r>
  <r>
    <s v="Call_7790"/>
    <s v="C0014"/>
    <n v="51"/>
    <x v="1"/>
    <d v="2023-06-01T00:00:00"/>
    <x v="10"/>
    <n v="4.5"/>
    <n v="2023"/>
    <s v="Thursday"/>
    <x v="2"/>
    <n v="5"/>
  </r>
  <r>
    <s v="Call_7791"/>
    <s v="C0008"/>
    <n v="39"/>
    <x v="1"/>
    <d v="2023-06-01T00:00:00"/>
    <x v="9"/>
    <n v="4.5999999999999996"/>
    <n v="2023"/>
    <s v="Thursday"/>
    <x v="2"/>
    <n v="5"/>
  </r>
  <r>
    <s v="Call_7792"/>
    <s v="C0013"/>
    <n v="111"/>
    <x v="4"/>
    <d v="2023-06-01T00:00:00"/>
    <x v="80"/>
    <n v="4.3"/>
    <n v="2023"/>
    <s v="Thursday"/>
    <x v="0"/>
    <n v="4"/>
  </r>
  <r>
    <s v="Call_7793"/>
    <s v="C0012"/>
    <n v="141"/>
    <x v="2"/>
    <d v="2023-06-03T00:00:00"/>
    <x v="48"/>
    <n v="4.8"/>
    <n v="2023"/>
    <s v="Saturday"/>
    <x v="1"/>
    <n v="5"/>
  </r>
  <r>
    <s v="Call_7794"/>
    <s v="C0007"/>
    <n v="147"/>
    <x v="4"/>
    <d v="2023-06-03T00:00:00"/>
    <x v="99"/>
    <n v="4.7"/>
    <n v="2023"/>
    <s v="Saturday"/>
    <x v="1"/>
    <n v="5"/>
  </r>
  <r>
    <s v="Call_7795"/>
    <s v="C0015"/>
    <n v="49"/>
    <x v="1"/>
    <d v="2023-06-04T00:00:00"/>
    <x v="62"/>
    <n v="2.2000000000000002"/>
    <n v="2023"/>
    <s v="Sunday"/>
    <x v="2"/>
    <n v="2"/>
  </r>
  <r>
    <s v="Call_7796"/>
    <s v="C0005"/>
    <n v="75"/>
    <x v="4"/>
    <d v="2023-06-04T00:00:00"/>
    <x v="100"/>
    <n v="4.4000000000000004"/>
    <n v="2023"/>
    <s v="Sunday"/>
    <x v="0"/>
    <n v="4"/>
  </r>
  <r>
    <s v="Call_7797"/>
    <s v="C0012"/>
    <n v="48"/>
    <x v="2"/>
    <d v="2023-06-05T00:00:00"/>
    <x v="31"/>
    <n v="4.0999999999999996"/>
    <n v="2023"/>
    <s v="Monday"/>
    <x v="2"/>
    <n v="4"/>
  </r>
  <r>
    <s v="Call_7798"/>
    <s v="C0009"/>
    <n v="48"/>
    <x v="2"/>
    <d v="2023-06-05T00:00:00"/>
    <x v="31"/>
    <n v="4.0999999999999996"/>
    <n v="2023"/>
    <s v="Monday"/>
    <x v="2"/>
    <n v="4"/>
  </r>
  <r>
    <s v="Call_7799"/>
    <s v="C0004"/>
    <n v="138"/>
    <x v="1"/>
    <d v="2023-06-05T00:00:00"/>
    <x v="87"/>
    <n v="4.4000000000000004"/>
    <n v="2023"/>
    <s v="Monday"/>
    <x v="1"/>
    <n v="4"/>
  </r>
  <r>
    <s v="Call_7800"/>
    <s v="C0006"/>
    <n v="144"/>
    <x v="1"/>
    <d v="2023-06-06T00:00:00"/>
    <x v="78"/>
    <n v="3.7"/>
    <n v="2023"/>
    <s v="Tuesday"/>
    <x v="1"/>
    <n v="4"/>
  </r>
  <r>
    <s v="Call_7801"/>
    <s v="C0001"/>
    <n v="119"/>
    <x v="4"/>
    <d v="2023-06-07T00:00:00"/>
    <x v="93"/>
    <n v="3.8"/>
    <n v="2023"/>
    <s v="Wednesday"/>
    <x v="0"/>
    <n v="4"/>
  </r>
  <r>
    <s v="Call_7802"/>
    <s v="C0004"/>
    <n v="101"/>
    <x v="2"/>
    <d v="2023-06-08T00:00:00"/>
    <x v="32"/>
    <n v="4.3"/>
    <n v="2023"/>
    <s v="Thursday"/>
    <x v="0"/>
    <n v="4"/>
  </r>
  <r>
    <s v="Call_7803"/>
    <s v="C0006"/>
    <n v="59"/>
    <x v="4"/>
    <d v="2023-06-09T00:00:00"/>
    <x v="44"/>
    <n v="3.5"/>
    <n v="2023"/>
    <s v="Friday"/>
    <x v="2"/>
    <n v="4"/>
  </r>
  <r>
    <s v="Call_7804"/>
    <s v="C0013"/>
    <n v="125"/>
    <x v="0"/>
    <d v="2023-06-09T00:00:00"/>
    <x v="90"/>
    <n v="4.0999999999999996"/>
    <n v="2023"/>
    <s v="Friday"/>
    <x v="1"/>
    <n v="4"/>
  </r>
  <r>
    <s v="Call_7805"/>
    <s v="C0010"/>
    <n v="147"/>
    <x v="4"/>
    <d v="2023-06-09T00:00:00"/>
    <x v="21"/>
    <n v="4.2"/>
    <n v="2023"/>
    <s v="Friday"/>
    <x v="1"/>
    <n v="4"/>
  </r>
  <r>
    <s v="Call_7806"/>
    <s v="C0002"/>
    <n v="76"/>
    <x v="4"/>
    <d v="2023-06-09T00:00:00"/>
    <x v="84"/>
    <n v="4.5"/>
    <n v="2023"/>
    <s v="Friday"/>
    <x v="0"/>
    <n v="5"/>
  </r>
  <r>
    <s v="Call_7807"/>
    <s v="C0007"/>
    <n v="99"/>
    <x v="2"/>
    <d v="2023-06-10T00:00:00"/>
    <x v="67"/>
    <n v="3.8"/>
    <n v="2023"/>
    <s v="Saturday"/>
    <x v="0"/>
    <n v="4"/>
  </r>
  <r>
    <s v="Call_7808"/>
    <s v="C0008"/>
    <n v="111"/>
    <x v="3"/>
    <d v="2023-06-11T00:00:00"/>
    <x v="3"/>
    <n v="4.0999999999999996"/>
    <n v="2023"/>
    <s v="Sunday"/>
    <x v="0"/>
    <n v="4"/>
  </r>
  <r>
    <s v="Call_7809"/>
    <s v="C0011"/>
    <n v="147"/>
    <x v="0"/>
    <d v="2023-06-11T00:00:00"/>
    <x v="95"/>
    <n v="4.4000000000000004"/>
    <n v="2023"/>
    <s v="Sunday"/>
    <x v="1"/>
    <n v="4"/>
  </r>
  <r>
    <s v="Call_7810"/>
    <s v="C0003"/>
    <n v="141"/>
    <x v="2"/>
    <d v="2023-06-11T00:00:00"/>
    <x v="62"/>
    <n v="4.5999999999999996"/>
    <n v="2023"/>
    <s v="Sunday"/>
    <x v="1"/>
    <n v="5"/>
  </r>
  <r>
    <s v="Call_7811"/>
    <s v="C0002"/>
    <n v="71"/>
    <x v="4"/>
    <d v="2023-06-12T00:00:00"/>
    <x v="68"/>
    <n v="3.4"/>
    <n v="2023"/>
    <s v="Monday"/>
    <x v="0"/>
    <n v="3"/>
  </r>
  <r>
    <s v="Call_7812"/>
    <s v="C0002"/>
    <n v="121"/>
    <x v="0"/>
    <d v="2023-06-13T00:00:00"/>
    <x v="59"/>
    <n v="4.5999999999999996"/>
    <n v="2023"/>
    <s v="Tuesday"/>
    <x v="1"/>
    <n v="5"/>
  </r>
  <r>
    <s v="Call_7813"/>
    <s v="C0002"/>
    <n v="60"/>
    <x v="0"/>
    <d v="2023-06-13T00:00:00"/>
    <x v="64"/>
    <n v="3.9"/>
    <n v="2023"/>
    <s v="Tuesday"/>
    <x v="2"/>
    <n v="4"/>
  </r>
  <r>
    <s v="Call_7814"/>
    <s v="C0015"/>
    <n v="158"/>
    <x v="2"/>
    <d v="2023-06-14T00:00:00"/>
    <x v="104"/>
    <n v="4"/>
    <n v="2023"/>
    <s v="Wednesday"/>
    <x v="1"/>
    <n v="4"/>
  </r>
  <r>
    <s v="Call_7815"/>
    <s v="C0010"/>
    <n v="159"/>
    <x v="1"/>
    <d v="2023-06-14T00:00:00"/>
    <x v="2"/>
    <n v="3.4"/>
    <n v="2023"/>
    <s v="Wednesday"/>
    <x v="1"/>
    <n v="3"/>
  </r>
  <r>
    <s v="Call_7816"/>
    <s v="C0004"/>
    <n v="70"/>
    <x v="4"/>
    <d v="2023-06-15T00:00:00"/>
    <x v="93"/>
    <n v="3.2"/>
    <n v="2023"/>
    <s v="Thursday"/>
    <x v="0"/>
    <n v="3"/>
  </r>
  <r>
    <s v="Call_7817"/>
    <s v="C0012"/>
    <n v="78"/>
    <x v="3"/>
    <d v="2023-06-15T00:00:00"/>
    <x v="15"/>
    <n v="3.9"/>
    <n v="2023"/>
    <s v="Thursday"/>
    <x v="0"/>
    <n v="4"/>
  </r>
  <r>
    <s v="Call_7818"/>
    <s v="C0011"/>
    <n v="103"/>
    <x v="4"/>
    <d v="2023-06-15T00:00:00"/>
    <x v="31"/>
    <n v="5"/>
    <n v="2023"/>
    <s v="Thursday"/>
    <x v="0"/>
    <n v="5"/>
  </r>
  <r>
    <s v="Call_7819"/>
    <s v="C0005"/>
    <n v="108"/>
    <x v="2"/>
    <d v="2023-06-15T00:00:00"/>
    <x v="36"/>
    <n v="3.5"/>
    <n v="2023"/>
    <s v="Thursday"/>
    <x v="0"/>
    <n v="4"/>
  </r>
  <r>
    <s v="Call_7820"/>
    <s v="C0005"/>
    <n v="44"/>
    <x v="0"/>
    <d v="2023-06-15T00:00:00"/>
    <x v="16"/>
    <n v="3.8"/>
    <n v="2023"/>
    <s v="Thursday"/>
    <x v="2"/>
    <n v="4"/>
  </r>
  <r>
    <s v="Call_7821"/>
    <s v="C0012"/>
    <n v="127"/>
    <x v="2"/>
    <d v="2023-06-16T00:00:00"/>
    <x v="70"/>
    <n v="4.8"/>
    <n v="2023"/>
    <s v="Friday"/>
    <x v="1"/>
    <n v="5"/>
  </r>
  <r>
    <s v="Call_7822"/>
    <s v="C0011"/>
    <n v="132"/>
    <x v="4"/>
    <d v="2023-06-17T00:00:00"/>
    <x v="25"/>
    <n v="4.2"/>
    <n v="2023"/>
    <s v="Saturday"/>
    <x v="1"/>
    <n v="4"/>
  </r>
  <r>
    <s v="Call_7823"/>
    <s v="C0003"/>
    <n v="106"/>
    <x v="3"/>
    <d v="2023-06-17T00:00:00"/>
    <x v="54"/>
    <n v="3.7"/>
    <n v="2023"/>
    <s v="Saturday"/>
    <x v="0"/>
    <n v="4"/>
  </r>
  <r>
    <s v="Call_7824"/>
    <s v="C0008"/>
    <n v="107"/>
    <x v="4"/>
    <d v="2023-06-18T00:00:00"/>
    <x v="77"/>
    <n v="4.8"/>
    <n v="2023"/>
    <s v="Sunday"/>
    <x v="0"/>
    <n v="5"/>
  </r>
  <r>
    <s v="Call_7825"/>
    <s v="C0010"/>
    <n v="85"/>
    <x v="3"/>
    <d v="2023-06-18T00:00:00"/>
    <x v="100"/>
    <n v="4.8"/>
    <n v="2023"/>
    <s v="Sunday"/>
    <x v="0"/>
    <n v="5"/>
  </r>
  <r>
    <s v="Call_7826"/>
    <s v="C0007"/>
    <n v="49"/>
    <x v="4"/>
    <d v="2023-06-19T00:00:00"/>
    <x v="59"/>
    <n v="2.9"/>
    <n v="2023"/>
    <s v="Monday"/>
    <x v="2"/>
    <n v="3"/>
  </r>
  <r>
    <s v="Call_7827"/>
    <s v="C0002"/>
    <n v="117"/>
    <x v="2"/>
    <d v="2023-06-20T00:00:00"/>
    <x v="95"/>
    <n v="3.5"/>
    <n v="2023"/>
    <s v="Tuesday"/>
    <x v="0"/>
    <n v="4"/>
  </r>
  <r>
    <s v="Call_7828"/>
    <s v="C0008"/>
    <n v="136"/>
    <x v="3"/>
    <d v="2023-06-20T00:00:00"/>
    <x v="64"/>
    <n v="0.9"/>
    <n v="2023"/>
    <s v="Tuesday"/>
    <x v="1"/>
    <n v="1"/>
  </r>
  <r>
    <s v="Call_7829"/>
    <s v="C0005"/>
    <n v="130"/>
    <x v="1"/>
    <d v="2023-06-21T00:00:00"/>
    <x v="90"/>
    <n v="3.4"/>
    <n v="2023"/>
    <s v="Wednesday"/>
    <x v="1"/>
    <n v="3"/>
  </r>
  <r>
    <s v="Call_7830"/>
    <s v="C0005"/>
    <n v="73"/>
    <x v="1"/>
    <d v="2023-06-21T00:00:00"/>
    <x v="75"/>
    <n v="2.7"/>
    <n v="2023"/>
    <s v="Wednesday"/>
    <x v="0"/>
    <n v="3"/>
  </r>
  <r>
    <s v="Call_7831"/>
    <s v="C0007"/>
    <n v="80"/>
    <x v="4"/>
    <d v="2023-06-21T00:00:00"/>
    <x v="37"/>
    <n v="4.7"/>
    <n v="2023"/>
    <s v="Wednesday"/>
    <x v="0"/>
    <n v="5"/>
  </r>
  <r>
    <s v="Call_7832"/>
    <s v="C0001"/>
    <n v="44"/>
    <x v="2"/>
    <d v="2023-06-21T00:00:00"/>
    <x v="105"/>
    <n v="3"/>
    <n v="2023"/>
    <s v="Wednesday"/>
    <x v="2"/>
    <n v="3"/>
  </r>
  <r>
    <s v="Call_7833"/>
    <s v="C0001"/>
    <n v="102"/>
    <x v="0"/>
    <d v="2023-06-21T00:00:00"/>
    <x v="103"/>
    <n v="4.2"/>
    <n v="2023"/>
    <s v="Wednesday"/>
    <x v="0"/>
    <n v="4"/>
  </r>
  <r>
    <s v="Call_7834"/>
    <s v="C0015"/>
    <n v="74"/>
    <x v="0"/>
    <d v="2023-06-21T00:00:00"/>
    <x v="83"/>
    <n v="4.8"/>
    <n v="2023"/>
    <s v="Wednesday"/>
    <x v="0"/>
    <n v="5"/>
  </r>
  <r>
    <s v="Call_7835"/>
    <s v="C0007"/>
    <n v="52"/>
    <x v="2"/>
    <d v="2023-06-23T00:00:00"/>
    <x v="63"/>
    <n v="4.0999999999999996"/>
    <n v="2023"/>
    <s v="Friday"/>
    <x v="2"/>
    <n v="4"/>
  </r>
  <r>
    <s v="Call_7836"/>
    <s v="C0007"/>
    <n v="74"/>
    <x v="1"/>
    <d v="2023-06-23T00:00:00"/>
    <x v="64"/>
    <n v="2.7"/>
    <n v="2023"/>
    <s v="Friday"/>
    <x v="0"/>
    <n v="3"/>
  </r>
  <r>
    <s v="Call_7837"/>
    <s v="C0005"/>
    <n v="96"/>
    <x v="0"/>
    <d v="2023-06-23T00:00:00"/>
    <x v="9"/>
    <n v="2.9"/>
    <n v="2023"/>
    <s v="Friday"/>
    <x v="0"/>
    <n v="3"/>
  </r>
  <r>
    <s v="Call_7838"/>
    <s v="C0013"/>
    <n v="104"/>
    <x v="4"/>
    <d v="2023-06-23T00:00:00"/>
    <x v="40"/>
    <n v="5"/>
    <n v="2023"/>
    <s v="Friday"/>
    <x v="0"/>
    <n v="5"/>
  </r>
  <r>
    <s v="Call_7839"/>
    <s v="C0005"/>
    <n v="123"/>
    <x v="0"/>
    <d v="2023-06-24T00:00:00"/>
    <x v="85"/>
    <n v="4.5999999999999996"/>
    <n v="2023"/>
    <s v="Saturday"/>
    <x v="1"/>
    <n v="5"/>
  </r>
  <r>
    <s v="Call_7840"/>
    <s v="C0009"/>
    <n v="100"/>
    <x v="3"/>
    <d v="2023-06-24T00:00:00"/>
    <x v="8"/>
    <n v="3"/>
    <n v="2023"/>
    <s v="Saturday"/>
    <x v="0"/>
    <n v="3"/>
  </r>
  <r>
    <s v="Call_7841"/>
    <s v="C0013"/>
    <n v="35"/>
    <x v="2"/>
    <d v="2023-06-25T00:00:00"/>
    <x v="33"/>
    <n v="4.5999999999999996"/>
    <n v="2023"/>
    <s v="Sunday"/>
    <x v="2"/>
    <n v="5"/>
  </r>
  <r>
    <s v="Call_7842"/>
    <s v="C0007"/>
    <n v="123"/>
    <x v="4"/>
    <d v="2023-06-25T00:00:00"/>
    <x v="12"/>
    <n v="4.5"/>
    <n v="2023"/>
    <s v="Sunday"/>
    <x v="1"/>
    <n v="5"/>
  </r>
  <r>
    <s v="Call_7843"/>
    <s v="C0002"/>
    <n v="133"/>
    <x v="2"/>
    <d v="2023-06-26T00:00:00"/>
    <x v="65"/>
    <n v="3.7"/>
    <n v="2023"/>
    <s v="Monday"/>
    <x v="1"/>
    <n v="4"/>
  </r>
  <r>
    <s v="Call_7844"/>
    <s v="C0005"/>
    <n v="126"/>
    <x v="1"/>
    <d v="2023-06-26T00:00:00"/>
    <x v="104"/>
    <n v="2.4"/>
    <n v="2023"/>
    <s v="Monday"/>
    <x v="1"/>
    <n v="2"/>
  </r>
  <r>
    <s v="Call_7845"/>
    <s v="C0007"/>
    <n v="39"/>
    <x v="0"/>
    <d v="2023-06-26T00:00:00"/>
    <x v="92"/>
    <n v="4.3"/>
    <n v="2023"/>
    <s v="Monday"/>
    <x v="2"/>
    <n v="4"/>
  </r>
  <r>
    <s v="Call_7846"/>
    <s v="C0015"/>
    <n v="31"/>
    <x v="4"/>
    <d v="2023-06-26T00:00:00"/>
    <x v="60"/>
    <n v="3.9"/>
    <n v="2023"/>
    <s v="Monday"/>
    <x v="2"/>
    <n v="4"/>
  </r>
  <r>
    <s v="Call_7847"/>
    <s v="C0011"/>
    <n v="25"/>
    <x v="2"/>
    <d v="2023-06-26T00:00:00"/>
    <x v="59"/>
    <n v="4.5"/>
    <n v="2023"/>
    <s v="Monday"/>
    <x v="3"/>
    <n v="5"/>
  </r>
  <r>
    <s v="Call_7848"/>
    <s v="C0004"/>
    <n v="132"/>
    <x v="3"/>
    <d v="2023-06-27T00:00:00"/>
    <x v="28"/>
    <n v="5"/>
    <n v="2023"/>
    <s v="Tuesday"/>
    <x v="1"/>
    <n v="5"/>
  </r>
  <r>
    <s v="Call_7849"/>
    <s v="C0013"/>
    <n v="63"/>
    <x v="1"/>
    <d v="2023-06-27T00:00:00"/>
    <x v="63"/>
    <n v="1.6"/>
    <n v="2023"/>
    <s v="Tuesday"/>
    <x v="0"/>
    <n v="2"/>
  </r>
  <r>
    <s v="Call_7850"/>
    <s v="C0009"/>
    <n v="135"/>
    <x v="3"/>
    <d v="2023-06-27T00:00:00"/>
    <x v="5"/>
    <n v="4.3"/>
    <n v="2023"/>
    <s v="Tuesday"/>
    <x v="1"/>
    <n v="4"/>
  </r>
  <r>
    <s v="Call_7851"/>
    <s v="C0010"/>
    <n v="101"/>
    <x v="1"/>
    <d v="2023-06-27T00:00:00"/>
    <x v="59"/>
    <n v="3.5"/>
    <n v="2023"/>
    <s v="Tuesday"/>
    <x v="0"/>
    <n v="4"/>
  </r>
  <r>
    <s v="Call_7852"/>
    <s v="C0002"/>
    <n v="80"/>
    <x v="0"/>
    <d v="2023-06-28T00:00:00"/>
    <x v="12"/>
    <n v="3.1"/>
    <n v="2023"/>
    <s v="Wednesday"/>
    <x v="0"/>
    <n v="3"/>
  </r>
  <r>
    <s v="Call_7853"/>
    <s v="C0001"/>
    <n v="28"/>
    <x v="0"/>
    <d v="2023-06-28T00:00:00"/>
    <x v="85"/>
    <n v="2.9"/>
    <n v="2023"/>
    <s v="Wednesday"/>
    <x v="3"/>
    <n v="3"/>
  </r>
  <r>
    <s v="Call_7854"/>
    <s v="C0010"/>
    <n v="102"/>
    <x v="3"/>
    <d v="2023-06-29T00:00:00"/>
    <x v="51"/>
    <n v="3.2"/>
    <n v="2023"/>
    <s v="Thursday"/>
    <x v="0"/>
    <n v="3"/>
  </r>
  <r>
    <s v="Call_7855"/>
    <s v="C0013"/>
    <n v="60"/>
    <x v="3"/>
    <d v="2023-06-30T00:00:00"/>
    <x v="2"/>
    <n v="3.2"/>
    <n v="2023"/>
    <s v="Friday"/>
    <x v="2"/>
    <n v="3"/>
  </r>
  <r>
    <s v="Call_7856"/>
    <s v="C0014"/>
    <n v="103"/>
    <x v="3"/>
    <d v="2023-06-30T00:00:00"/>
    <x v="71"/>
    <n v="4.5"/>
    <n v="2023"/>
    <s v="Friday"/>
    <x v="0"/>
    <n v="5"/>
  </r>
  <r>
    <s v="Call_7857"/>
    <s v="C0002"/>
    <n v="90"/>
    <x v="0"/>
    <d v="2023-07-01T00:00:00"/>
    <x v="86"/>
    <n v="3.9"/>
    <n v="2024"/>
    <s v="Saturday"/>
    <x v="0"/>
    <n v="4"/>
  </r>
  <r>
    <s v="Call_7858"/>
    <s v="C0012"/>
    <n v="88"/>
    <x v="3"/>
    <d v="2023-07-01T00:00:00"/>
    <x v="24"/>
    <n v="4.2"/>
    <n v="2024"/>
    <s v="Saturday"/>
    <x v="0"/>
    <n v="4"/>
  </r>
  <r>
    <s v="Call_7859"/>
    <s v="C0014"/>
    <n v="37"/>
    <x v="3"/>
    <d v="2023-07-01T00:00:00"/>
    <x v="48"/>
    <n v="1.8"/>
    <n v="2024"/>
    <s v="Saturday"/>
    <x v="2"/>
    <n v="2"/>
  </r>
  <r>
    <s v="Call_7860"/>
    <s v="C0001"/>
    <n v="142"/>
    <x v="0"/>
    <d v="2023-07-01T00:00:00"/>
    <x v="93"/>
    <n v="4.2"/>
    <n v="2024"/>
    <s v="Saturday"/>
    <x v="1"/>
    <n v="4"/>
  </r>
  <r>
    <s v="Call_7861"/>
    <s v="C0001"/>
    <n v="153"/>
    <x v="2"/>
    <d v="2023-07-01T00:00:00"/>
    <x v="71"/>
    <n v="3.1"/>
    <n v="2024"/>
    <s v="Saturday"/>
    <x v="1"/>
    <n v="3"/>
  </r>
  <r>
    <s v="Call_7862"/>
    <s v="C0006"/>
    <n v="128"/>
    <x v="1"/>
    <d v="2023-07-01T00:00:00"/>
    <x v="21"/>
    <n v="4.3"/>
    <n v="2024"/>
    <s v="Saturday"/>
    <x v="1"/>
    <n v="4"/>
  </r>
  <r>
    <s v="Call_7863"/>
    <s v="C0013"/>
    <n v="110"/>
    <x v="1"/>
    <d v="2023-07-02T00:00:00"/>
    <x v="72"/>
    <n v="4.4000000000000004"/>
    <n v="2024"/>
    <s v="Sunday"/>
    <x v="0"/>
    <n v="4"/>
  </r>
  <r>
    <s v="Call_7864"/>
    <s v="C0006"/>
    <n v="139"/>
    <x v="3"/>
    <d v="2023-07-02T00:00:00"/>
    <x v="91"/>
    <n v="4.4000000000000004"/>
    <n v="2024"/>
    <s v="Sunday"/>
    <x v="1"/>
    <n v="4"/>
  </r>
  <r>
    <s v="Call_7865"/>
    <s v="C0010"/>
    <n v="109"/>
    <x v="4"/>
    <d v="2023-07-04T00:00:00"/>
    <x v="21"/>
    <n v="2.4"/>
    <n v="2024"/>
    <s v="Tuesday"/>
    <x v="0"/>
    <n v="2"/>
  </r>
  <r>
    <s v="Call_7866"/>
    <s v="C0004"/>
    <n v="57"/>
    <x v="0"/>
    <d v="2023-07-05T00:00:00"/>
    <x v="31"/>
    <n v="3.5"/>
    <n v="2024"/>
    <s v="Wednesday"/>
    <x v="2"/>
    <n v="4"/>
  </r>
  <r>
    <s v="Call_7867"/>
    <s v="C0010"/>
    <n v="68"/>
    <x v="3"/>
    <d v="2023-07-05T00:00:00"/>
    <x v="102"/>
    <n v="3.1"/>
    <n v="2024"/>
    <s v="Wednesday"/>
    <x v="0"/>
    <n v="3"/>
  </r>
  <r>
    <s v="Call_7868"/>
    <s v="C0011"/>
    <n v="128"/>
    <x v="3"/>
    <d v="2023-07-05T00:00:00"/>
    <x v="93"/>
    <n v="2.2999999999999998"/>
    <n v="2024"/>
    <s v="Wednesday"/>
    <x v="1"/>
    <n v="2"/>
  </r>
  <r>
    <s v="Call_7869"/>
    <s v="C0003"/>
    <n v="102"/>
    <x v="0"/>
    <d v="2023-07-06T00:00:00"/>
    <x v="63"/>
    <n v="2.8"/>
    <n v="2024"/>
    <s v="Thursday"/>
    <x v="0"/>
    <n v="3"/>
  </r>
  <r>
    <s v="Call_7870"/>
    <s v="C0006"/>
    <n v="52"/>
    <x v="2"/>
    <d v="2023-07-06T00:00:00"/>
    <x v="28"/>
    <n v="4.5"/>
    <n v="2024"/>
    <s v="Thursday"/>
    <x v="2"/>
    <n v="5"/>
  </r>
  <r>
    <s v="Call_7871"/>
    <s v="C0011"/>
    <n v="55"/>
    <x v="1"/>
    <d v="2023-07-07T00:00:00"/>
    <x v="54"/>
    <n v="4.5"/>
    <n v="2024"/>
    <s v="Friday"/>
    <x v="2"/>
    <n v="5"/>
  </r>
  <r>
    <s v="Call_7872"/>
    <s v="C0014"/>
    <n v="107"/>
    <x v="3"/>
    <d v="2023-07-07T00:00:00"/>
    <x v="88"/>
    <n v="4.5"/>
    <n v="2024"/>
    <s v="Friday"/>
    <x v="0"/>
    <n v="5"/>
  </r>
  <r>
    <s v="Call_7873"/>
    <s v="C0002"/>
    <n v="88"/>
    <x v="2"/>
    <d v="2023-07-08T00:00:00"/>
    <x v="27"/>
    <n v="4.8"/>
    <n v="2024"/>
    <s v="Saturday"/>
    <x v="0"/>
    <n v="5"/>
  </r>
  <r>
    <s v="Call_7874"/>
    <s v="C0007"/>
    <n v="49"/>
    <x v="2"/>
    <d v="2023-07-08T00:00:00"/>
    <x v="77"/>
    <n v="4.5999999999999996"/>
    <n v="2024"/>
    <s v="Saturday"/>
    <x v="2"/>
    <n v="5"/>
  </r>
  <r>
    <s v="Call_7875"/>
    <s v="C0002"/>
    <n v="72"/>
    <x v="0"/>
    <d v="2023-07-08T00:00:00"/>
    <x v="103"/>
    <n v="4.5"/>
    <n v="2024"/>
    <s v="Saturday"/>
    <x v="0"/>
    <n v="5"/>
  </r>
  <r>
    <s v="Call_7876"/>
    <s v="C0004"/>
    <n v="50"/>
    <x v="0"/>
    <d v="2023-07-08T00:00:00"/>
    <x v="45"/>
    <n v="5"/>
    <n v="2024"/>
    <s v="Saturday"/>
    <x v="2"/>
    <n v="5"/>
  </r>
  <r>
    <s v="Call_7877"/>
    <s v="C0002"/>
    <n v="52"/>
    <x v="3"/>
    <d v="2023-07-08T00:00:00"/>
    <x v="28"/>
    <n v="4.8"/>
    <n v="2024"/>
    <s v="Saturday"/>
    <x v="2"/>
    <n v="5"/>
  </r>
  <r>
    <s v="Call_7878"/>
    <s v="C0005"/>
    <n v="85"/>
    <x v="4"/>
    <d v="2023-07-09T00:00:00"/>
    <x v="46"/>
    <n v="3.5"/>
    <n v="2024"/>
    <s v="Sunday"/>
    <x v="0"/>
    <n v="4"/>
  </r>
  <r>
    <s v="Call_7879"/>
    <s v="C0009"/>
    <n v="98"/>
    <x v="4"/>
    <d v="2023-07-10T00:00:00"/>
    <x v="58"/>
    <n v="3.4"/>
    <n v="2024"/>
    <s v="Monday"/>
    <x v="0"/>
    <n v="3"/>
  </r>
  <r>
    <s v="Call_7880"/>
    <s v="C0015"/>
    <n v="52"/>
    <x v="4"/>
    <d v="2023-07-10T00:00:00"/>
    <x v="104"/>
    <n v="3.3"/>
    <n v="2024"/>
    <s v="Monday"/>
    <x v="2"/>
    <n v="3"/>
  </r>
  <r>
    <s v="Call_7881"/>
    <s v="C0011"/>
    <n v="154"/>
    <x v="2"/>
    <d v="2023-07-10T00:00:00"/>
    <x v="84"/>
    <n v="4.9000000000000004"/>
    <n v="2024"/>
    <s v="Monday"/>
    <x v="1"/>
    <n v="5"/>
  </r>
  <r>
    <s v="Call_7882"/>
    <s v="C0008"/>
    <n v="131"/>
    <x v="1"/>
    <d v="2023-07-11T00:00:00"/>
    <x v="103"/>
    <n v="4.5"/>
    <n v="2024"/>
    <s v="Tuesday"/>
    <x v="1"/>
    <n v="5"/>
  </r>
  <r>
    <s v="Call_7883"/>
    <s v="C0005"/>
    <n v="73"/>
    <x v="1"/>
    <d v="2023-07-12T00:00:00"/>
    <x v="90"/>
    <n v="4.8"/>
    <n v="2024"/>
    <s v="Wednesday"/>
    <x v="0"/>
    <n v="5"/>
  </r>
  <r>
    <s v="Call_7884"/>
    <s v="C0013"/>
    <n v="45"/>
    <x v="4"/>
    <d v="2023-07-12T00:00:00"/>
    <x v="59"/>
    <n v="4.8"/>
    <n v="2024"/>
    <s v="Wednesday"/>
    <x v="2"/>
    <n v="5"/>
  </r>
  <r>
    <s v="Call_7885"/>
    <s v="C0006"/>
    <n v="114"/>
    <x v="3"/>
    <d v="2023-07-12T00:00:00"/>
    <x v="74"/>
    <n v="3.9"/>
    <n v="2024"/>
    <s v="Wednesday"/>
    <x v="0"/>
    <n v="4"/>
  </r>
  <r>
    <s v="Call_7886"/>
    <s v="C0009"/>
    <n v="69"/>
    <x v="1"/>
    <d v="2023-07-13T00:00:00"/>
    <x v="36"/>
    <n v="3.9"/>
    <n v="2024"/>
    <s v="Thursday"/>
    <x v="0"/>
    <n v="4"/>
  </r>
  <r>
    <s v="Call_7887"/>
    <s v="C0008"/>
    <n v="33"/>
    <x v="2"/>
    <d v="2023-07-13T00:00:00"/>
    <x v="79"/>
    <n v="3.7"/>
    <n v="2024"/>
    <s v="Thursday"/>
    <x v="2"/>
    <n v="4"/>
  </r>
  <r>
    <s v="Call_7888"/>
    <s v="C0004"/>
    <n v="31"/>
    <x v="0"/>
    <d v="2023-07-14T00:00:00"/>
    <x v="59"/>
    <n v="4.8"/>
    <n v="2024"/>
    <s v="Friday"/>
    <x v="2"/>
    <n v="5"/>
  </r>
  <r>
    <s v="Call_7889"/>
    <s v="C0013"/>
    <n v="168"/>
    <x v="2"/>
    <d v="2023-07-14T00:00:00"/>
    <x v="18"/>
    <n v="3.5"/>
    <n v="2024"/>
    <s v="Friday"/>
    <x v="1"/>
    <n v="4"/>
  </r>
  <r>
    <s v="Call_7890"/>
    <s v="C0005"/>
    <n v="111"/>
    <x v="3"/>
    <d v="2023-07-15T00:00:00"/>
    <x v="41"/>
    <n v="4.2"/>
    <n v="2024"/>
    <s v="Saturday"/>
    <x v="0"/>
    <n v="4"/>
  </r>
  <r>
    <s v="Call_7891"/>
    <s v="C0004"/>
    <n v="80"/>
    <x v="2"/>
    <d v="2023-07-16T00:00:00"/>
    <x v="66"/>
    <n v="4.9000000000000004"/>
    <n v="2024"/>
    <s v="Sunday"/>
    <x v="0"/>
    <n v="5"/>
  </r>
  <r>
    <s v="Call_7892"/>
    <s v="C0003"/>
    <n v="37"/>
    <x v="2"/>
    <d v="2023-07-16T00:00:00"/>
    <x v="55"/>
    <n v="4.5999999999999996"/>
    <n v="2024"/>
    <s v="Sunday"/>
    <x v="2"/>
    <n v="5"/>
  </r>
  <r>
    <s v="Call_7893"/>
    <s v="C0001"/>
    <n v="137"/>
    <x v="2"/>
    <d v="2023-07-17T00:00:00"/>
    <x v="59"/>
    <n v="2.6"/>
    <n v="2024"/>
    <s v="Monday"/>
    <x v="1"/>
    <n v="3"/>
  </r>
  <r>
    <s v="Call_7894"/>
    <s v="C0009"/>
    <n v="123"/>
    <x v="3"/>
    <d v="2023-07-17T00:00:00"/>
    <x v="24"/>
    <n v="2.7"/>
    <n v="2024"/>
    <s v="Monday"/>
    <x v="1"/>
    <n v="3"/>
  </r>
  <r>
    <s v="Call_7895"/>
    <s v="C0012"/>
    <n v="105"/>
    <x v="3"/>
    <d v="2023-07-18T00:00:00"/>
    <x v="92"/>
    <n v="4.7"/>
    <n v="2024"/>
    <s v="Tuesday"/>
    <x v="0"/>
    <n v="5"/>
  </r>
  <r>
    <s v="Call_7896"/>
    <s v="C0003"/>
    <n v="76"/>
    <x v="4"/>
    <d v="2023-07-19T00:00:00"/>
    <x v="59"/>
    <n v="3.9"/>
    <n v="2024"/>
    <s v="Wednesday"/>
    <x v="0"/>
    <n v="4"/>
  </r>
  <r>
    <s v="Call_7897"/>
    <s v="C0004"/>
    <n v="144"/>
    <x v="4"/>
    <d v="2023-07-19T00:00:00"/>
    <x v="84"/>
    <n v="2.8"/>
    <n v="2024"/>
    <s v="Wednesday"/>
    <x v="1"/>
    <n v="3"/>
  </r>
  <r>
    <s v="Call_7898"/>
    <s v="C0008"/>
    <n v="109"/>
    <x v="0"/>
    <d v="2023-07-19T00:00:00"/>
    <x v="32"/>
    <n v="3.1"/>
    <n v="2024"/>
    <s v="Wednesday"/>
    <x v="0"/>
    <n v="3"/>
  </r>
  <r>
    <s v="Call_7899"/>
    <s v="C0009"/>
    <n v="172"/>
    <x v="2"/>
    <d v="2023-07-20T00:00:00"/>
    <x v="79"/>
    <n v="4.2"/>
    <n v="2024"/>
    <s v="Thursday"/>
    <x v="1"/>
    <n v="4"/>
  </r>
  <r>
    <s v="Call_7900"/>
    <s v="C0004"/>
    <n v="56"/>
    <x v="3"/>
    <d v="2023-07-20T00:00:00"/>
    <x v="79"/>
    <n v="4.3"/>
    <n v="2024"/>
    <s v="Thursday"/>
    <x v="2"/>
    <n v="4"/>
  </r>
  <r>
    <s v="Call_7901"/>
    <s v="C0004"/>
    <n v="121"/>
    <x v="1"/>
    <d v="2023-07-20T00:00:00"/>
    <x v="88"/>
    <n v="2.7"/>
    <n v="2024"/>
    <s v="Thursday"/>
    <x v="1"/>
    <n v="3"/>
  </r>
  <r>
    <s v="Call_7902"/>
    <s v="C0009"/>
    <n v="41"/>
    <x v="3"/>
    <d v="2023-07-21T00:00:00"/>
    <x v="54"/>
    <n v="2.2999999999999998"/>
    <n v="2024"/>
    <s v="Friday"/>
    <x v="2"/>
    <n v="2"/>
  </r>
  <r>
    <s v="Call_7903"/>
    <s v="C0014"/>
    <n v="60"/>
    <x v="2"/>
    <d v="2023-07-21T00:00:00"/>
    <x v="5"/>
    <n v="2.2999999999999998"/>
    <n v="2024"/>
    <s v="Friday"/>
    <x v="2"/>
    <n v="2"/>
  </r>
  <r>
    <s v="Call_7904"/>
    <s v="C0014"/>
    <n v="144"/>
    <x v="2"/>
    <d v="2023-07-22T00:00:00"/>
    <x v="71"/>
    <n v="2.9"/>
    <n v="2024"/>
    <s v="Saturday"/>
    <x v="1"/>
    <n v="3"/>
  </r>
  <r>
    <s v="Call_7905"/>
    <s v="C0011"/>
    <n v="67"/>
    <x v="2"/>
    <d v="2023-07-22T00:00:00"/>
    <x v="100"/>
    <n v="4.2"/>
    <n v="2024"/>
    <s v="Saturday"/>
    <x v="0"/>
    <n v="4"/>
  </r>
  <r>
    <s v="Call_7906"/>
    <s v="C0009"/>
    <n v="162"/>
    <x v="0"/>
    <d v="2023-07-22T00:00:00"/>
    <x v="95"/>
    <n v="4.5999999999999996"/>
    <n v="2024"/>
    <s v="Saturday"/>
    <x v="1"/>
    <n v="5"/>
  </r>
  <r>
    <s v="Call_7907"/>
    <s v="C0014"/>
    <n v="87"/>
    <x v="1"/>
    <d v="2023-07-25T00:00:00"/>
    <x v="29"/>
    <n v="4.5"/>
    <n v="2024"/>
    <s v="Tuesday"/>
    <x v="0"/>
    <n v="5"/>
  </r>
  <r>
    <s v="Call_7908"/>
    <s v="C0015"/>
    <n v="10"/>
    <x v="4"/>
    <d v="2023-07-26T00:00:00"/>
    <x v="18"/>
    <n v="3.7"/>
    <n v="2024"/>
    <s v="Wednesday"/>
    <x v="4"/>
    <n v="4"/>
  </r>
  <r>
    <s v="Call_7909"/>
    <s v="C0004"/>
    <n v="138"/>
    <x v="4"/>
    <d v="2023-07-26T00:00:00"/>
    <x v="14"/>
    <n v="4.0999999999999996"/>
    <n v="2024"/>
    <s v="Wednesday"/>
    <x v="1"/>
    <n v="4"/>
  </r>
  <r>
    <s v="Call_7910"/>
    <s v="C0009"/>
    <n v="31"/>
    <x v="4"/>
    <d v="2023-07-27T00:00:00"/>
    <x v="42"/>
    <n v="3.4"/>
    <n v="2024"/>
    <s v="Thursday"/>
    <x v="2"/>
    <n v="3"/>
  </r>
  <r>
    <s v="Call_7911"/>
    <s v="C0012"/>
    <n v="75"/>
    <x v="0"/>
    <d v="2023-07-27T00:00:00"/>
    <x v="38"/>
    <n v="3.3"/>
    <n v="2024"/>
    <s v="Thursday"/>
    <x v="0"/>
    <n v="3"/>
  </r>
  <r>
    <s v="Call_7912"/>
    <s v="C0003"/>
    <n v="65"/>
    <x v="0"/>
    <d v="2023-07-28T00:00:00"/>
    <x v="63"/>
    <n v="4.4000000000000004"/>
    <n v="2024"/>
    <s v="Friday"/>
    <x v="0"/>
    <n v="4"/>
  </r>
  <r>
    <s v="Call_7913"/>
    <s v="C0005"/>
    <n v="106"/>
    <x v="3"/>
    <d v="2023-07-28T00:00:00"/>
    <x v="7"/>
    <n v="4.2"/>
    <n v="2024"/>
    <s v="Friday"/>
    <x v="0"/>
    <n v="4"/>
  </r>
  <r>
    <s v="Call_7914"/>
    <s v="C0003"/>
    <n v="107"/>
    <x v="3"/>
    <d v="2023-07-29T00:00:00"/>
    <x v="38"/>
    <n v="3.4"/>
    <n v="2024"/>
    <s v="Saturday"/>
    <x v="0"/>
    <n v="3"/>
  </r>
  <r>
    <s v="Call_7915"/>
    <s v="C0001"/>
    <n v="78"/>
    <x v="3"/>
    <d v="2023-07-31T00:00:00"/>
    <x v="49"/>
    <n v="4.4000000000000004"/>
    <n v="2024"/>
    <s v="Monday"/>
    <x v="0"/>
    <n v="4"/>
  </r>
  <r>
    <s v="Call_7916"/>
    <s v="C0002"/>
    <n v="122"/>
    <x v="3"/>
    <d v="2023-07-31T00:00:00"/>
    <x v="38"/>
    <n v="2.7"/>
    <n v="2024"/>
    <s v="Monday"/>
    <x v="1"/>
    <n v="3"/>
  </r>
  <r>
    <s v="Call_7917"/>
    <s v="C0004"/>
    <n v="58"/>
    <x v="4"/>
    <d v="2023-07-31T00:00:00"/>
    <x v="100"/>
    <n v="4.5"/>
    <n v="2024"/>
    <s v="Monday"/>
    <x v="2"/>
    <n v="5"/>
  </r>
  <r>
    <s v="Call_7918"/>
    <s v="C0001"/>
    <n v="33"/>
    <x v="2"/>
    <d v="2023-07-31T00:00:00"/>
    <x v="19"/>
    <n v="1.7"/>
    <n v="2024"/>
    <s v="Monday"/>
    <x v="2"/>
    <n v="2"/>
  </r>
  <r>
    <s v="Call_7919"/>
    <s v="C0008"/>
    <n v="164"/>
    <x v="0"/>
    <d v="2023-07-31T00:00:00"/>
    <x v="73"/>
    <n v="4.7"/>
    <n v="2024"/>
    <s v="Monday"/>
    <x v="1"/>
    <n v="5"/>
  </r>
  <r>
    <s v="Call_7920"/>
    <s v="C0012"/>
    <n v="163"/>
    <x v="1"/>
    <d v="2023-07-31T00:00:00"/>
    <x v="103"/>
    <n v="4.4000000000000004"/>
    <n v="2024"/>
    <s v="Monday"/>
    <x v="1"/>
    <n v="4"/>
  </r>
  <r>
    <s v="Call_7921"/>
    <s v="C0007"/>
    <n v="71"/>
    <x v="0"/>
    <d v="2023-08-02T00:00:00"/>
    <x v="16"/>
    <n v="3.5"/>
    <n v="2024"/>
    <s v="Wednesday"/>
    <x v="0"/>
    <n v="4"/>
  </r>
  <r>
    <s v="Call_7922"/>
    <s v="C0001"/>
    <n v="103"/>
    <x v="4"/>
    <d v="2023-08-03T00:00:00"/>
    <x v="83"/>
    <n v="4.7"/>
    <n v="2024"/>
    <s v="Thursday"/>
    <x v="0"/>
    <n v="5"/>
  </r>
  <r>
    <s v="Call_7923"/>
    <s v="C0006"/>
    <n v="69"/>
    <x v="1"/>
    <d v="2023-08-03T00:00:00"/>
    <x v="88"/>
    <n v="4.3"/>
    <n v="2024"/>
    <s v="Thursday"/>
    <x v="0"/>
    <n v="4"/>
  </r>
  <r>
    <s v="Call_7924"/>
    <s v="C0012"/>
    <n v="111"/>
    <x v="4"/>
    <d v="2023-08-03T00:00:00"/>
    <x v="51"/>
    <n v="4.0999999999999996"/>
    <n v="2024"/>
    <s v="Thursday"/>
    <x v="0"/>
    <n v="4"/>
  </r>
  <r>
    <s v="Call_7925"/>
    <s v="C0010"/>
    <n v="97"/>
    <x v="1"/>
    <d v="2023-08-04T00:00:00"/>
    <x v="7"/>
    <n v="2.9"/>
    <n v="2024"/>
    <s v="Friday"/>
    <x v="0"/>
    <n v="3"/>
  </r>
  <r>
    <s v="Call_7926"/>
    <s v="C0013"/>
    <n v="144"/>
    <x v="3"/>
    <d v="2023-08-04T00:00:00"/>
    <x v="14"/>
    <n v="3.4"/>
    <n v="2024"/>
    <s v="Friday"/>
    <x v="1"/>
    <n v="3"/>
  </r>
  <r>
    <s v="Call_7927"/>
    <s v="C0005"/>
    <n v="56"/>
    <x v="1"/>
    <d v="2023-08-05T00:00:00"/>
    <x v="106"/>
    <n v="4.5999999999999996"/>
    <n v="2024"/>
    <s v="Saturday"/>
    <x v="2"/>
    <n v="5"/>
  </r>
  <r>
    <s v="Call_7928"/>
    <s v="C0013"/>
    <n v="132"/>
    <x v="3"/>
    <d v="2023-08-06T00:00:00"/>
    <x v="14"/>
    <n v="4.9000000000000004"/>
    <n v="2024"/>
    <s v="Sunday"/>
    <x v="1"/>
    <n v="5"/>
  </r>
  <r>
    <s v="Call_7929"/>
    <s v="C0007"/>
    <n v="72"/>
    <x v="2"/>
    <d v="2023-08-06T00:00:00"/>
    <x v="63"/>
    <n v="3.6"/>
    <n v="2024"/>
    <s v="Sunday"/>
    <x v="0"/>
    <n v="4"/>
  </r>
  <r>
    <s v="Call_7930"/>
    <s v="C0012"/>
    <n v="18"/>
    <x v="2"/>
    <d v="2023-08-06T00:00:00"/>
    <x v="3"/>
    <n v="3.5"/>
    <n v="2024"/>
    <s v="Sunday"/>
    <x v="3"/>
    <n v="4"/>
  </r>
  <r>
    <s v="Call_7931"/>
    <s v="C0011"/>
    <n v="115"/>
    <x v="4"/>
    <d v="2023-08-07T00:00:00"/>
    <x v="45"/>
    <n v="3.3"/>
    <n v="2024"/>
    <s v="Monday"/>
    <x v="0"/>
    <n v="3"/>
  </r>
  <r>
    <s v="Call_7932"/>
    <s v="C0011"/>
    <n v="124"/>
    <x v="1"/>
    <d v="2023-08-08T00:00:00"/>
    <x v="48"/>
    <n v="3.8"/>
    <n v="2024"/>
    <s v="Tuesday"/>
    <x v="1"/>
    <n v="4"/>
  </r>
  <r>
    <s v="Call_7933"/>
    <s v="C0004"/>
    <n v="130"/>
    <x v="1"/>
    <d v="2023-08-08T00:00:00"/>
    <x v="5"/>
    <n v="2.5"/>
    <n v="2024"/>
    <s v="Tuesday"/>
    <x v="1"/>
    <n v="3"/>
  </r>
  <r>
    <s v="Call_7934"/>
    <s v="C0015"/>
    <n v="120"/>
    <x v="0"/>
    <d v="2023-08-10T00:00:00"/>
    <x v="81"/>
    <n v="4.5999999999999996"/>
    <n v="2024"/>
    <s v="Thursday"/>
    <x v="0"/>
    <n v="5"/>
  </r>
  <r>
    <s v="Call_7935"/>
    <s v="C0010"/>
    <n v="75"/>
    <x v="4"/>
    <d v="2023-08-10T00:00:00"/>
    <x v="96"/>
    <n v="4.7"/>
    <n v="2024"/>
    <s v="Thursday"/>
    <x v="0"/>
    <n v="5"/>
  </r>
  <r>
    <s v="Call_7936"/>
    <s v="C0003"/>
    <n v="63"/>
    <x v="4"/>
    <d v="2023-08-10T00:00:00"/>
    <x v="79"/>
    <n v="3.6"/>
    <n v="2024"/>
    <s v="Thursday"/>
    <x v="0"/>
    <n v="4"/>
  </r>
  <r>
    <s v="Call_7937"/>
    <s v="C0013"/>
    <n v="74"/>
    <x v="4"/>
    <d v="2023-08-12T00:00:00"/>
    <x v="30"/>
    <n v="4.3"/>
    <n v="2024"/>
    <s v="Saturday"/>
    <x v="0"/>
    <n v="4"/>
  </r>
  <r>
    <s v="Call_7938"/>
    <s v="C0006"/>
    <n v="134"/>
    <x v="3"/>
    <d v="2023-08-13T00:00:00"/>
    <x v="42"/>
    <n v="4.7"/>
    <n v="2024"/>
    <s v="Sunday"/>
    <x v="1"/>
    <n v="5"/>
  </r>
  <r>
    <s v="Call_7939"/>
    <s v="C0012"/>
    <n v="103"/>
    <x v="1"/>
    <d v="2023-08-13T00:00:00"/>
    <x v="70"/>
    <n v="4.9000000000000004"/>
    <n v="2024"/>
    <s v="Sunday"/>
    <x v="0"/>
    <n v="5"/>
  </r>
  <r>
    <s v="Call_7940"/>
    <s v="C0012"/>
    <n v="155"/>
    <x v="0"/>
    <d v="2023-08-16T00:00:00"/>
    <x v="1"/>
    <n v="4.9000000000000004"/>
    <n v="2024"/>
    <s v="Wednesday"/>
    <x v="1"/>
    <n v="5"/>
  </r>
  <r>
    <s v="Call_7941"/>
    <s v="C0003"/>
    <n v="128"/>
    <x v="1"/>
    <d v="2023-08-17T00:00:00"/>
    <x v="3"/>
    <n v="1.9"/>
    <n v="2024"/>
    <s v="Thursday"/>
    <x v="1"/>
    <n v="2"/>
  </r>
  <r>
    <s v="Call_7942"/>
    <s v="C0010"/>
    <n v="89"/>
    <x v="3"/>
    <d v="2023-08-18T00:00:00"/>
    <x v="84"/>
    <n v="4.5"/>
    <n v="2024"/>
    <s v="Friday"/>
    <x v="0"/>
    <n v="5"/>
  </r>
  <r>
    <s v="Call_7943"/>
    <s v="C0011"/>
    <n v="81"/>
    <x v="0"/>
    <d v="2023-08-18T00:00:00"/>
    <x v="65"/>
    <n v="4.9000000000000004"/>
    <n v="2024"/>
    <s v="Friday"/>
    <x v="0"/>
    <n v="5"/>
  </r>
  <r>
    <s v="Call_7944"/>
    <s v="C0010"/>
    <n v="66"/>
    <x v="3"/>
    <d v="2023-08-19T00:00:00"/>
    <x v="31"/>
    <n v="4.5"/>
    <n v="2024"/>
    <s v="Saturday"/>
    <x v="0"/>
    <n v="5"/>
  </r>
  <r>
    <s v="Call_7945"/>
    <s v="C0007"/>
    <n v="61"/>
    <x v="2"/>
    <d v="2023-08-19T00:00:00"/>
    <x v="76"/>
    <n v="2.7"/>
    <n v="2024"/>
    <s v="Saturday"/>
    <x v="0"/>
    <n v="3"/>
  </r>
  <r>
    <s v="Call_7946"/>
    <s v="C0011"/>
    <n v="128"/>
    <x v="2"/>
    <d v="2023-08-19T00:00:00"/>
    <x v="1"/>
    <n v="2.1"/>
    <n v="2024"/>
    <s v="Saturday"/>
    <x v="1"/>
    <n v="2"/>
  </r>
  <r>
    <s v="Call_7947"/>
    <s v="C0012"/>
    <n v="30"/>
    <x v="0"/>
    <d v="2023-08-19T00:00:00"/>
    <x v="80"/>
    <n v="4.2"/>
    <n v="2024"/>
    <s v="Saturday"/>
    <x v="3"/>
    <n v="4"/>
  </r>
  <r>
    <s v="Call_7948"/>
    <s v="C0008"/>
    <n v="63"/>
    <x v="2"/>
    <d v="2023-08-20T00:00:00"/>
    <x v="87"/>
    <n v="4.7"/>
    <n v="2024"/>
    <s v="Sunday"/>
    <x v="0"/>
    <n v="5"/>
  </r>
  <r>
    <s v="Call_7949"/>
    <s v="C0002"/>
    <n v="64"/>
    <x v="4"/>
    <d v="2023-08-20T00:00:00"/>
    <x v="22"/>
    <n v="3.9"/>
    <n v="2024"/>
    <s v="Sunday"/>
    <x v="0"/>
    <n v="4"/>
  </r>
  <r>
    <s v="Call_7950"/>
    <s v="C0014"/>
    <n v="151"/>
    <x v="1"/>
    <d v="2023-08-21T00:00:00"/>
    <x v="23"/>
    <n v="4.0999999999999996"/>
    <n v="2024"/>
    <s v="Monday"/>
    <x v="1"/>
    <n v="4"/>
  </r>
  <r>
    <s v="Call_7951"/>
    <s v="C0001"/>
    <n v="116"/>
    <x v="3"/>
    <d v="2023-08-21T00:00:00"/>
    <x v="85"/>
    <n v="3.8"/>
    <n v="2024"/>
    <s v="Monday"/>
    <x v="0"/>
    <n v="4"/>
  </r>
  <r>
    <s v="Call_7952"/>
    <s v="C0014"/>
    <n v="111"/>
    <x v="3"/>
    <d v="2023-08-23T00:00:00"/>
    <x v="31"/>
    <n v="1.8"/>
    <n v="2024"/>
    <s v="Wednesday"/>
    <x v="0"/>
    <n v="2"/>
  </r>
  <r>
    <s v="Call_7953"/>
    <s v="C0011"/>
    <n v="15"/>
    <x v="3"/>
    <d v="2023-08-23T00:00:00"/>
    <x v="31"/>
    <n v="4.0999999999999996"/>
    <n v="2024"/>
    <s v="Wednesday"/>
    <x v="3"/>
    <n v="4"/>
  </r>
  <r>
    <s v="Call_7954"/>
    <s v="C0002"/>
    <n v="18"/>
    <x v="1"/>
    <d v="2023-08-24T00:00:00"/>
    <x v="45"/>
    <n v="4.4000000000000004"/>
    <n v="2024"/>
    <s v="Thursday"/>
    <x v="3"/>
    <n v="4"/>
  </r>
  <r>
    <s v="Call_7955"/>
    <s v="C0007"/>
    <n v="146"/>
    <x v="2"/>
    <d v="2023-08-24T00:00:00"/>
    <x v="42"/>
    <n v="4.0999999999999996"/>
    <n v="2024"/>
    <s v="Thursday"/>
    <x v="1"/>
    <n v="4"/>
  </r>
  <r>
    <s v="Call_7956"/>
    <s v="C0012"/>
    <n v="73"/>
    <x v="3"/>
    <d v="2023-08-25T00:00:00"/>
    <x v="85"/>
    <n v="3.8"/>
    <n v="2024"/>
    <s v="Friday"/>
    <x v="0"/>
    <n v="4"/>
  </r>
  <r>
    <s v="Call_7957"/>
    <s v="C0014"/>
    <n v="108"/>
    <x v="1"/>
    <d v="2023-08-25T00:00:00"/>
    <x v="24"/>
    <n v="4.3"/>
    <n v="2024"/>
    <s v="Friday"/>
    <x v="0"/>
    <n v="4"/>
  </r>
  <r>
    <s v="Call_7958"/>
    <s v="C0006"/>
    <n v="52"/>
    <x v="1"/>
    <d v="2023-08-26T00:00:00"/>
    <x v="2"/>
    <n v="4.5"/>
    <n v="2024"/>
    <s v="Saturday"/>
    <x v="2"/>
    <n v="5"/>
  </r>
  <r>
    <s v="Call_7959"/>
    <s v="C0001"/>
    <n v="165"/>
    <x v="4"/>
    <d v="2023-08-26T00:00:00"/>
    <x v="95"/>
    <n v="3.4"/>
    <n v="2024"/>
    <s v="Saturday"/>
    <x v="1"/>
    <n v="3"/>
  </r>
  <r>
    <s v="Call_7960"/>
    <s v="C0007"/>
    <n v="104"/>
    <x v="3"/>
    <d v="2023-08-26T00:00:00"/>
    <x v="2"/>
    <n v="4.8"/>
    <n v="2024"/>
    <s v="Saturday"/>
    <x v="0"/>
    <n v="5"/>
  </r>
  <r>
    <s v="Call_7961"/>
    <s v="C0012"/>
    <n v="131"/>
    <x v="2"/>
    <d v="2023-08-26T00:00:00"/>
    <x v="19"/>
    <n v="4.9000000000000004"/>
    <n v="2024"/>
    <s v="Saturday"/>
    <x v="1"/>
    <n v="5"/>
  </r>
  <r>
    <s v="Call_7962"/>
    <s v="C0015"/>
    <n v="80"/>
    <x v="4"/>
    <d v="2023-08-27T00:00:00"/>
    <x v="72"/>
    <n v="4.7"/>
    <n v="2024"/>
    <s v="Sunday"/>
    <x v="0"/>
    <n v="5"/>
  </r>
  <r>
    <s v="Call_7963"/>
    <s v="C0011"/>
    <n v="49"/>
    <x v="3"/>
    <d v="2023-08-27T00:00:00"/>
    <x v="7"/>
    <n v="3.3"/>
    <n v="2024"/>
    <s v="Sunday"/>
    <x v="2"/>
    <n v="3"/>
  </r>
  <r>
    <s v="Call_7964"/>
    <s v="C0001"/>
    <n v="73"/>
    <x v="3"/>
    <d v="2023-08-27T00:00:00"/>
    <x v="62"/>
    <n v="2.8"/>
    <n v="2024"/>
    <s v="Sunday"/>
    <x v="0"/>
    <n v="3"/>
  </r>
  <r>
    <s v="Call_7965"/>
    <s v="C0007"/>
    <n v="117"/>
    <x v="4"/>
    <d v="2023-08-27T00:00:00"/>
    <x v="44"/>
    <n v="4.0999999999999996"/>
    <n v="2024"/>
    <s v="Sunday"/>
    <x v="0"/>
    <n v="4"/>
  </r>
  <r>
    <s v="Call_7966"/>
    <s v="C0005"/>
    <n v="38"/>
    <x v="0"/>
    <d v="2023-08-27T00:00:00"/>
    <x v="27"/>
    <n v="3.5"/>
    <n v="2024"/>
    <s v="Sunday"/>
    <x v="2"/>
    <n v="4"/>
  </r>
  <r>
    <s v="Call_7967"/>
    <s v="C0006"/>
    <n v="109"/>
    <x v="4"/>
    <d v="2023-08-29T00:00:00"/>
    <x v="12"/>
    <n v="2.2999999999999998"/>
    <n v="2024"/>
    <s v="Tuesday"/>
    <x v="0"/>
    <n v="2"/>
  </r>
  <r>
    <s v="Call_7968"/>
    <s v="C0011"/>
    <n v="70"/>
    <x v="1"/>
    <d v="2023-08-30T00:00:00"/>
    <x v="80"/>
    <n v="4.0999999999999996"/>
    <n v="2024"/>
    <s v="Wednesday"/>
    <x v="0"/>
    <n v="4"/>
  </r>
  <r>
    <s v="Call_7969"/>
    <s v="C0004"/>
    <n v="51"/>
    <x v="0"/>
    <d v="2023-08-30T00:00:00"/>
    <x v="22"/>
    <n v="4.3"/>
    <n v="2024"/>
    <s v="Wednesday"/>
    <x v="2"/>
    <n v="4"/>
  </r>
  <r>
    <s v="Call_7970"/>
    <s v="C0004"/>
    <n v="100"/>
    <x v="1"/>
    <d v="2023-08-31T00:00:00"/>
    <x v="82"/>
    <n v="4.9000000000000004"/>
    <n v="2024"/>
    <s v="Thursday"/>
    <x v="0"/>
    <n v="5"/>
  </r>
  <r>
    <s v="Call_7971"/>
    <s v="C0013"/>
    <n v="124"/>
    <x v="0"/>
    <d v="2023-09-01T00:00:00"/>
    <x v="32"/>
    <n v="4"/>
    <n v="2024"/>
    <s v="Friday"/>
    <x v="1"/>
    <n v="4"/>
  </r>
  <r>
    <s v="Call_7972"/>
    <s v="C0003"/>
    <n v="143"/>
    <x v="4"/>
    <d v="2023-09-01T00:00:00"/>
    <x v="88"/>
    <n v="4.7"/>
    <n v="2024"/>
    <s v="Friday"/>
    <x v="1"/>
    <n v="5"/>
  </r>
  <r>
    <s v="Call_7973"/>
    <s v="C0010"/>
    <n v="96"/>
    <x v="3"/>
    <d v="2023-09-01T00:00:00"/>
    <x v="73"/>
    <n v="3.4"/>
    <n v="2024"/>
    <s v="Friday"/>
    <x v="0"/>
    <n v="3"/>
  </r>
  <r>
    <s v="Call_7974"/>
    <s v="C0001"/>
    <n v="84"/>
    <x v="1"/>
    <d v="2023-09-03T00:00:00"/>
    <x v="18"/>
    <n v="4"/>
    <n v="2024"/>
    <s v="Sunday"/>
    <x v="0"/>
    <n v="4"/>
  </r>
  <r>
    <s v="Call_7975"/>
    <s v="C0009"/>
    <n v="111"/>
    <x v="1"/>
    <d v="2023-09-03T00:00:00"/>
    <x v="23"/>
    <n v="4.5"/>
    <n v="2024"/>
    <s v="Sunday"/>
    <x v="0"/>
    <n v="5"/>
  </r>
  <r>
    <s v="Call_7976"/>
    <s v="C0009"/>
    <n v="103"/>
    <x v="0"/>
    <d v="2023-09-04T00:00:00"/>
    <x v="85"/>
    <n v="4.5"/>
    <n v="2024"/>
    <s v="Monday"/>
    <x v="0"/>
    <n v="5"/>
  </r>
  <r>
    <s v="Call_7977"/>
    <s v="C0003"/>
    <n v="61"/>
    <x v="2"/>
    <d v="2023-09-04T00:00:00"/>
    <x v="32"/>
    <n v="4.9000000000000004"/>
    <n v="2024"/>
    <s v="Monday"/>
    <x v="0"/>
    <n v="5"/>
  </r>
  <r>
    <s v="Call_7978"/>
    <s v="C0012"/>
    <n v="113"/>
    <x v="3"/>
    <d v="2023-09-04T00:00:00"/>
    <x v="9"/>
    <n v="4.4000000000000004"/>
    <n v="2024"/>
    <s v="Monday"/>
    <x v="0"/>
    <n v="4"/>
  </r>
  <r>
    <s v="Call_7979"/>
    <s v="C0012"/>
    <n v="96"/>
    <x v="3"/>
    <d v="2023-09-04T00:00:00"/>
    <x v="11"/>
    <n v="2.9"/>
    <n v="2024"/>
    <s v="Monday"/>
    <x v="0"/>
    <n v="3"/>
  </r>
  <r>
    <s v="Call_7980"/>
    <s v="C0002"/>
    <n v="131"/>
    <x v="0"/>
    <d v="2023-09-05T00:00:00"/>
    <x v="75"/>
    <n v="4.4000000000000004"/>
    <n v="2024"/>
    <s v="Tuesday"/>
    <x v="1"/>
    <n v="4"/>
  </r>
  <r>
    <s v="Call_7981"/>
    <s v="C0007"/>
    <n v="52"/>
    <x v="3"/>
    <d v="2023-09-06T00:00:00"/>
    <x v="66"/>
    <n v="4.3"/>
    <n v="2024"/>
    <s v="Wednesday"/>
    <x v="2"/>
    <n v="4"/>
  </r>
  <r>
    <s v="Call_7982"/>
    <s v="C0004"/>
    <n v="100"/>
    <x v="0"/>
    <d v="2023-09-06T00:00:00"/>
    <x v="13"/>
    <n v="4.7"/>
    <n v="2024"/>
    <s v="Wednesday"/>
    <x v="0"/>
    <n v="5"/>
  </r>
  <r>
    <s v="Call_7983"/>
    <s v="C0014"/>
    <n v="58"/>
    <x v="4"/>
    <d v="2023-09-06T00:00:00"/>
    <x v="11"/>
    <n v="3.2"/>
    <n v="2024"/>
    <s v="Wednesday"/>
    <x v="2"/>
    <n v="3"/>
  </r>
  <r>
    <s v="Call_7984"/>
    <s v="C0011"/>
    <n v="144"/>
    <x v="4"/>
    <d v="2023-09-07T00:00:00"/>
    <x v="55"/>
    <n v="2.2999999999999998"/>
    <n v="2024"/>
    <s v="Thursday"/>
    <x v="1"/>
    <n v="2"/>
  </r>
  <r>
    <s v="Call_7985"/>
    <s v="C0014"/>
    <n v="53"/>
    <x v="2"/>
    <d v="2023-09-08T00:00:00"/>
    <x v="58"/>
    <n v="3.6"/>
    <n v="2024"/>
    <s v="Friday"/>
    <x v="2"/>
    <n v="4"/>
  </r>
  <r>
    <s v="Call_7986"/>
    <s v="C0012"/>
    <n v="97"/>
    <x v="1"/>
    <d v="2023-09-08T00:00:00"/>
    <x v="82"/>
    <n v="4.5999999999999996"/>
    <n v="2024"/>
    <s v="Friday"/>
    <x v="0"/>
    <n v="5"/>
  </r>
  <r>
    <s v="Call_7987"/>
    <s v="C0005"/>
    <n v="64"/>
    <x v="4"/>
    <d v="2023-09-08T00:00:00"/>
    <x v="2"/>
    <n v="4"/>
    <n v="2024"/>
    <s v="Friday"/>
    <x v="0"/>
    <n v="4"/>
  </r>
  <r>
    <s v="Call_7988"/>
    <s v="C0003"/>
    <n v="106"/>
    <x v="0"/>
    <d v="2023-09-08T00:00:00"/>
    <x v="81"/>
    <n v="4.7"/>
    <n v="2024"/>
    <s v="Friday"/>
    <x v="0"/>
    <n v="5"/>
  </r>
  <r>
    <s v="Call_7989"/>
    <s v="C0001"/>
    <n v="36"/>
    <x v="4"/>
    <d v="2023-09-09T00:00:00"/>
    <x v="106"/>
    <n v="4.3"/>
    <n v="2024"/>
    <s v="Saturday"/>
    <x v="2"/>
    <n v="4"/>
  </r>
  <r>
    <s v="Call_7990"/>
    <s v="C0011"/>
    <n v="74"/>
    <x v="3"/>
    <d v="2023-09-09T00:00:00"/>
    <x v="75"/>
    <n v="2.8"/>
    <n v="2024"/>
    <s v="Saturday"/>
    <x v="0"/>
    <n v="3"/>
  </r>
  <r>
    <s v="Call_7991"/>
    <s v="C0006"/>
    <n v="143"/>
    <x v="1"/>
    <d v="2023-09-09T00:00:00"/>
    <x v="38"/>
    <n v="4"/>
    <n v="2024"/>
    <s v="Saturday"/>
    <x v="1"/>
    <n v="4"/>
  </r>
  <r>
    <s v="Call_7992"/>
    <s v="C0003"/>
    <n v="94"/>
    <x v="2"/>
    <d v="2023-09-09T00:00:00"/>
    <x v="8"/>
    <n v="3.9"/>
    <n v="2024"/>
    <s v="Saturday"/>
    <x v="0"/>
    <n v="4"/>
  </r>
  <r>
    <s v="Call_7993"/>
    <s v="C0015"/>
    <n v="124"/>
    <x v="0"/>
    <d v="2023-09-10T00:00:00"/>
    <x v="9"/>
    <n v="3.1"/>
    <n v="2024"/>
    <s v="Sunday"/>
    <x v="1"/>
    <n v="3"/>
  </r>
  <r>
    <s v="Call_7994"/>
    <s v="C0001"/>
    <n v="156"/>
    <x v="4"/>
    <d v="2023-09-10T00:00:00"/>
    <x v="39"/>
    <n v="2.7"/>
    <n v="2024"/>
    <s v="Sunday"/>
    <x v="1"/>
    <n v="3"/>
  </r>
  <r>
    <s v="Call_7995"/>
    <s v="C0010"/>
    <n v="107"/>
    <x v="1"/>
    <d v="2023-09-10T00:00:00"/>
    <x v="100"/>
    <n v="4.7"/>
    <n v="2024"/>
    <s v="Sunday"/>
    <x v="0"/>
    <n v="5"/>
  </r>
  <r>
    <s v="Call_7996"/>
    <s v="C0003"/>
    <n v="58"/>
    <x v="1"/>
    <d v="2023-09-12T00:00:00"/>
    <x v="44"/>
    <n v="4.3"/>
    <n v="2024"/>
    <s v="Tuesday"/>
    <x v="2"/>
    <n v="4"/>
  </r>
  <r>
    <s v="Call_7997"/>
    <s v="C0013"/>
    <n v="66"/>
    <x v="1"/>
    <d v="2023-09-12T00:00:00"/>
    <x v="37"/>
    <n v="3.8"/>
    <n v="2024"/>
    <s v="Tuesday"/>
    <x v="0"/>
    <n v="4"/>
  </r>
  <r>
    <s v="Call_7998"/>
    <s v="C0002"/>
    <n v="75"/>
    <x v="4"/>
    <d v="2023-09-12T00:00:00"/>
    <x v="31"/>
    <n v="4.4000000000000004"/>
    <n v="2024"/>
    <s v="Tuesday"/>
    <x v="0"/>
    <n v="4"/>
  </r>
  <r>
    <s v="Call_7999"/>
    <s v="C0010"/>
    <n v="8"/>
    <x v="1"/>
    <d v="2023-09-12T00:00:00"/>
    <x v="4"/>
    <n v="3.9"/>
    <n v="2024"/>
    <s v="Tuesday"/>
    <x v="4"/>
    <n v="4"/>
  </r>
  <r>
    <s v="Call_8000"/>
    <s v="C0005"/>
    <n v="76"/>
    <x v="4"/>
    <d v="2023-09-13T00:00:00"/>
    <x v="10"/>
    <n v="4.9000000000000004"/>
    <n v="2024"/>
    <s v="Wednesday"/>
    <x v="0"/>
    <n v="5"/>
  </r>
  <r>
    <s v="Call_8001"/>
    <s v="C0003"/>
    <n v="110"/>
    <x v="4"/>
    <d v="2023-09-13T00:00:00"/>
    <x v="67"/>
    <n v="4.2"/>
    <n v="2024"/>
    <s v="Wednesday"/>
    <x v="0"/>
    <n v="4"/>
  </r>
  <r>
    <s v="Call_8002"/>
    <s v="C0013"/>
    <n v="50"/>
    <x v="2"/>
    <d v="2023-09-14T00:00:00"/>
    <x v="55"/>
    <n v="4"/>
    <n v="2024"/>
    <s v="Thursday"/>
    <x v="2"/>
    <n v="4"/>
  </r>
  <r>
    <s v="Call_8003"/>
    <s v="C0007"/>
    <n v="78"/>
    <x v="2"/>
    <d v="2023-09-14T00:00:00"/>
    <x v="50"/>
    <n v="4.2"/>
    <n v="2024"/>
    <s v="Thursday"/>
    <x v="0"/>
    <n v="4"/>
  </r>
  <r>
    <s v="Call_8004"/>
    <s v="C0012"/>
    <n v="59"/>
    <x v="0"/>
    <d v="2023-09-15T00:00:00"/>
    <x v="13"/>
    <n v="4.8"/>
    <n v="2024"/>
    <s v="Friday"/>
    <x v="2"/>
    <n v="5"/>
  </r>
  <r>
    <s v="Call_8005"/>
    <s v="C0007"/>
    <n v="126"/>
    <x v="1"/>
    <d v="2023-09-16T00:00:00"/>
    <x v="68"/>
    <n v="1.1000000000000001"/>
    <n v="2024"/>
    <s v="Saturday"/>
    <x v="1"/>
    <n v="1"/>
  </r>
  <r>
    <s v="Call_8006"/>
    <s v="C0005"/>
    <n v="43"/>
    <x v="0"/>
    <d v="2023-09-17T00:00:00"/>
    <x v="35"/>
    <n v="4"/>
    <n v="2024"/>
    <s v="Sunday"/>
    <x v="2"/>
    <n v="4"/>
  </r>
  <r>
    <s v="Call_8007"/>
    <s v="C0001"/>
    <n v="79"/>
    <x v="4"/>
    <d v="2023-09-19T00:00:00"/>
    <x v="29"/>
    <n v="4.8"/>
    <n v="2024"/>
    <s v="Tuesday"/>
    <x v="0"/>
    <n v="5"/>
  </r>
  <r>
    <s v="Call_8008"/>
    <s v="C0003"/>
    <n v="71"/>
    <x v="0"/>
    <d v="2023-09-20T00:00:00"/>
    <x v="25"/>
    <n v="4.2"/>
    <n v="2024"/>
    <s v="Wednesday"/>
    <x v="0"/>
    <n v="4"/>
  </r>
  <r>
    <s v="Call_8009"/>
    <s v="C0009"/>
    <n v="94"/>
    <x v="1"/>
    <d v="2023-09-21T00:00:00"/>
    <x v="96"/>
    <n v="4.5999999999999996"/>
    <n v="2024"/>
    <s v="Thursday"/>
    <x v="0"/>
    <n v="5"/>
  </r>
  <r>
    <s v="Call_8010"/>
    <s v="C0010"/>
    <n v="108"/>
    <x v="0"/>
    <d v="2023-09-21T00:00:00"/>
    <x v="67"/>
    <n v="4"/>
    <n v="2024"/>
    <s v="Thursday"/>
    <x v="0"/>
    <n v="4"/>
  </r>
  <r>
    <s v="Call_8011"/>
    <s v="C0005"/>
    <n v="76"/>
    <x v="1"/>
    <d v="2023-09-21T00:00:00"/>
    <x v="27"/>
    <n v="3.9"/>
    <n v="2024"/>
    <s v="Thursday"/>
    <x v="0"/>
    <n v="4"/>
  </r>
  <r>
    <s v="Call_8012"/>
    <s v="C0012"/>
    <n v="136"/>
    <x v="0"/>
    <d v="2023-09-21T00:00:00"/>
    <x v="73"/>
    <n v="2.8"/>
    <n v="2024"/>
    <s v="Thursday"/>
    <x v="1"/>
    <n v="3"/>
  </r>
  <r>
    <s v="Call_8013"/>
    <s v="C0004"/>
    <n v="129"/>
    <x v="2"/>
    <d v="2023-09-22T00:00:00"/>
    <x v="76"/>
    <n v="4.7"/>
    <n v="2024"/>
    <s v="Friday"/>
    <x v="1"/>
    <n v="5"/>
  </r>
  <r>
    <s v="Call_8014"/>
    <s v="C0010"/>
    <n v="120"/>
    <x v="0"/>
    <d v="2023-09-22T00:00:00"/>
    <x v="100"/>
    <n v="4.2"/>
    <n v="2024"/>
    <s v="Friday"/>
    <x v="0"/>
    <n v="4"/>
  </r>
  <r>
    <s v="Call_8015"/>
    <s v="C0005"/>
    <n v="108"/>
    <x v="2"/>
    <d v="2023-09-23T00:00:00"/>
    <x v="2"/>
    <n v="3.9"/>
    <n v="2024"/>
    <s v="Saturday"/>
    <x v="0"/>
    <n v="4"/>
  </r>
  <r>
    <s v="Call_8016"/>
    <s v="C0007"/>
    <n v="79"/>
    <x v="0"/>
    <d v="2023-09-23T00:00:00"/>
    <x v="46"/>
    <n v="4.5999999999999996"/>
    <n v="2024"/>
    <s v="Saturday"/>
    <x v="0"/>
    <n v="5"/>
  </r>
  <r>
    <s v="Call_8017"/>
    <s v="C0007"/>
    <n v="45"/>
    <x v="2"/>
    <d v="2023-09-23T00:00:00"/>
    <x v="19"/>
    <n v="4.3"/>
    <n v="2024"/>
    <s v="Saturday"/>
    <x v="2"/>
    <n v="4"/>
  </r>
  <r>
    <s v="Call_8018"/>
    <s v="C0011"/>
    <n v="96"/>
    <x v="0"/>
    <d v="2023-09-23T00:00:00"/>
    <x v="24"/>
    <n v="3.6"/>
    <n v="2024"/>
    <s v="Saturday"/>
    <x v="0"/>
    <n v="4"/>
  </r>
  <r>
    <s v="Call_8019"/>
    <s v="C0011"/>
    <n v="81"/>
    <x v="0"/>
    <d v="2023-09-24T00:00:00"/>
    <x v="26"/>
    <n v="4.9000000000000004"/>
    <n v="2024"/>
    <s v="Sunday"/>
    <x v="0"/>
    <n v="5"/>
  </r>
  <r>
    <s v="Call_8020"/>
    <s v="C0012"/>
    <n v="95"/>
    <x v="3"/>
    <d v="2023-09-24T00:00:00"/>
    <x v="50"/>
    <n v="2.4"/>
    <n v="2024"/>
    <s v="Sunday"/>
    <x v="0"/>
    <n v="2"/>
  </r>
  <r>
    <s v="Call_8021"/>
    <s v="C0015"/>
    <n v="159"/>
    <x v="1"/>
    <d v="2023-09-24T00:00:00"/>
    <x v="23"/>
    <n v="4.2"/>
    <n v="2024"/>
    <s v="Sunday"/>
    <x v="1"/>
    <n v="4"/>
  </r>
  <r>
    <s v="Call_8022"/>
    <s v="C0008"/>
    <n v="109"/>
    <x v="4"/>
    <d v="2023-09-24T00:00:00"/>
    <x v="68"/>
    <n v="3.9"/>
    <n v="2024"/>
    <s v="Sunday"/>
    <x v="0"/>
    <n v="4"/>
  </r>
  <r>
    <s v="Call_8023"/>
    <s v="C0007"/>
    <n v="107"/>
    <x v="4"/>
    <d v="2023-09-24T00:00:00"/>
    <x v="5"/>
    <n v="4.2"/>
    <n v="2024"/>
    <s v="Sunday"/>
    <x v="0"/>
    <n v="4"/>
  </r>
  <r>
    <s v="Call_8024"/>
    <s v="C0011"/>
    <n v="67"/>
    <x v="2"/>
    <d v="2023-09-25T00:00:00"/>
    <x v="90"/>
    <n v="3.9"/>
    <n v="2024"/>
    <s v="Monday"/>
    <x v="0"/>
    <n v="4"/>
  </r>
  <r>
    <s v="Call_8025"/>
    <s v="C0002"/>
    <n v="96"/>
    <x v="0"/>
    <d v="2023-09-26T00:00:00"/>
    <x v="28"/>
    <n v="4.5"/>
    <n v="2024"/>
    <s v="Tuesday"/>
    <x v="0"/>
    <n v="5"/>
  </r>
  <r>
    <s v="Call_8026"/>
    <s v="C0006"/>
    <n v="142"/>
    <x v="1"/>
    <d v="2023-09-27T00:00:00"/>
    <x v="64"/>
    <n v="3.8"/>
    <n v="2024"/>
    <s v="Wednesday"/>
    <x v="1"/>
    <n v="4"/>
  </r>
  <r>
    <s v="Call_8027"/>
    <s v="C0006"/>
    <n v="71"/>
    <x v="3"/>
    <d v="2023-09-27T00:00:00"/>
    <x v="1"/>
    <n v="3.9"/>
    <n v="2024"/>
    <s v="Wednesday"/>
    <x v="0"/>
    <n v="4"/>
  </r>
  <r>
    <s v="Call_8028"/>
    <s v="C0002"/>
    <n v="152"/>
    <x v="3"/>
    <d v="2023-09-27T00:00:00"/>
    <x v="66"/>
    <n v="4.7"/>
    <n v="2024"/>
    <s v="Wednesday"/>
    <x v="1"/>
    <n v="5"/>
  </r>
  <r>
    <s v="Call_8029"/>
    <s v="C0001"/>
    <n v="108"/>
    <x v="1"/>
    <d v="2023-09-27T00:00:00"/>
    <x v="104"/>
    <n v="3.2"/>
    <n v="2024"/>
    <s v="Wednesday"/>
    <x v="0"/>
    <n v="3"/>
  </r>
  <r>
    <s v="Call_8030"/>
    <s v="C0001"/>
    <n v="156"/>
    <x v="3"/>
    <d v="2023-09-27T00:00:00"/>
    <x v="91"/>
    <n v="5"/>
    <n v="2024"/>
    <s v="Wednesday"/>
    <x v="1"/>
    <n v="5"/>
  </r>
  <r>
    <s v="Call_8031"/>
    <s v="C0006"/>
    <n v="126"/>
    <x v="1"/>
    <d v="2023-09-27T00:00:00"/>
    <x v="85"/>
    <n v="3.7"/>
    <n v="2024"/>
    <s v="Wednesday"/>
    <x v="1"/>
    <n v="4"/>
  </r>
  <r>
    <s v="Call_8032"/>
    <s v="C0005"/>
    <n v="135"/>
    <x v="3"/>
    <d v="2023-09-28T00:00:00"/>
    <x v="19"/>
    <n v="3.9"/>
    <n v="2024"/>
    <s v="Thursday"/>
    <x v="1"/>
    <n v="4"/>
  </r>
  <r>
    <s v="Call_8033"/>
    <s v="C0006"/>
    <n v="110"/>
    <x v="0"/>
    <d v="2023-09-29T00:00:00"/>
    <x v="44"/>
    <n v="3.1"/>
    <n v="2024"/>
    <s v="Friday"/>
    <x v="0"/>
    <n v="3"/>
  </r>
  <r>
    <s v="Call_8034"/>
    <s v="C0015"/>
    <n v="64"/>
    <x v="3"/>
    <d v="2023-09-29T00:00:00"/>
    <x v="54"/>
    <n v="2"/>
    <n v="2024"/>
    <s v="Friday"/>
    <x v="0"/>
    <n v="2"/>
  </r>
  <r>
    <s v="Call_8035"/>
    <s v="C0009"/>
    <n v="127"/>
    <x v="1"/>
    <d v="2023-09-29T00:00:00"/>
    <x v="54"/>
    <n v="4.5999999999999996"/>
    <n v="2024"/>
    <s v="Friday"/>
    <x v="1"/>
    <n v="5"/>
  </r>
  <r>
    <s v="Call_8036"/>
    <s v="C0008"/>
    <n v="124"/>
    <x v="2"/>
    <d v="2023-09-29T00:00:00"/>
    <x v="43"/>
    <n v="3.7"/>
    <n v="2024"/>
    <s v="Friday"/>
    <x v="1"/>
    <n v="4"/>
  </r>
  <r>
    <s v="Call_8037"/>
    <s v="C0015"/>
    <n v="125"/>
    <x v="1"/>
    <d v="2023-09-29T00:00:00"/>
    <x v="93"/>
    <n v="4.4000000000000004"/>
    <n v="2024"/>
    <s v="Friday"/>
    <x v="1"/>
    <n v="4"/>
  </r>
  <r>
    <s v="Call_8038"/>
    <s v="C0004"/>
    <n v="70"/>
    <x v="1"/>
    <d v="2023-09-29T00:00:00"/>
    <x v="87"/>
    <n v="2.1"/>
    <n v="2024"/>
    <s v="Friday"/>
    <x v="0"/>
    <n v="2"/>
  </r>
  <r>
    <s v="Call_8039"/>
    <s v="C0009"/>
    <n v="93"/>
    <x v="3"/>
    <d v="2023-09-30T00:00:00"/>
    <x v="16"/>
    <n v="2.2000000000000002"/>
    <n v="2024"/>
    <s v="Saturday"/>
    <x v="0"/>
    <n v="2"/>
  </r>
  <r>
    <s v="Call_8040"/>
    <s v="C0004"/>
    <n v="120"/>
    <x v="4"/>
    <d v="2023-09-30T00:00:00"/>
    <x v="12"/>
    <n v="3.4"/>
    <n v="2024"/>
    <s v="Saturday"/>
    <x v="0"/>
    <n v="3"/>
  </r>
  <r>
    <s v="Call_8041"/>
    <s v="C0011"/>
    <n v="96"/>
    <x v="0"/>
    <d v="2023-09-30T00:00:00"/>
    <x v="14"/>
    <n v="2.7"/>
    <n v="2024"/>
    <s v="Saturday"/>
    <x v="0"/>
    <n v="3"/>
  </r>
  <r>
    <s v="Call_8042"/>
    <s v="C0014"/>
    <n v="67"/>
    <x v="0"/>
    <d v="2023-09-30T00:00:00"/>
    <x v="11"/>
    <n v="3.7"/>
    <n v="2024"/>
    <s v="Saturday"/>
    <x v="0"/>
    <n v="4"/>
  </r>
  <r>
    <s v="Call_8043"/>
    <s v="C0015"/>
    <n v="119"/>
    <x v="0"/>
    <d v="2023-09-30T00:00:00"/>
    <x v="11"/>
    <n v="3.1"/>
    <n v="2024"/>
    <s v="Saturday"/>
    <x v="0"/>
    <n v="3"/>
  </r>
  <r>
    <s v="Call_8044"/>
    <s v="C0008"/>
    <n v="61"/>
    <x v="2"/>
    <d v="2023-09-30T00:00:00"/>
    <x v="83"/>
    <n v="4.0999999999999996"/>
    <n v="2024"/>
    <s v="Saturday"/>
    <x v="0"/>
    <n v="4"/>
  </r>
  <r>
    <s v="Call_8045"/>
    <s v="C0011"/>
    <n v="29"/>
    <x v="3"/>
    <d v="2023-09-30T00:00:00"/>
    <x v="24"/>
    <n v="4.8"/>
    <n v="2024"/>
    <s v="Saturday"/>
    <x v="3"/>
    <n v="5"/>
  </r>
  <r>
    <s v="Call_8046"/>
    <s v="C0002"/>
    <n v="134"/>
    <x v="4"/>
    <d v="2023-09-30T00:00:00"/>
    <x v="83"/>
    <n v="4"/>
    <n v="2024"/>
    <s v="Saturday"/>
    <x v="1"/>
    <n v="4"/>
  </r>
  <r>
    <s v="Call_8047"/>
    <s v="C0006"/>
    <n v="113"/>
    <x v="0"/>
    <d v="2023-10-01T00:00:00"/>
    <x v="45"/>
    <n v="3"/>
    <n v="2024"/>
    <s v="Sunday"/>
    <x v="0"/>
    <n v="3"/>
  </r>
  <r>
    <s v="Call_8048"/>
    <s v="C0001"/>
    <n v="12"/>
    <x v="4"/>
    <d v="2023-10-01T00:00:00"/>
    <x v="83"/>
    <n v="4.8"/>
    <n v="2024"/>
    <s v="Sunday"/>
    <x v="3"/>
    <n v="5"/>
  </r>
  <r>
    <s v="Call_8049"/>
    <s v="C0013"/>
    <n v="78"/>
    <x v="3"/>
    <d v="2023-10-01T00:00:00"/>
    <x v="1"/>
    <n v="4.0999999999999996"/>
    <n v="2024"/>
    <s v="Sunday"/>
    <x v="0"/>
    <n v="4"/>
  </r>
  <r>
    <s v="Call_8050"/>
    <s v="C0015"/>
    <n v="82"/>
    <x v="1"/>
    <d v="2023-10-01T00:00:00"/>
    <x v="51"/>
    <n v="4.2"/>
    <n v="2024"/>
    <s v="Sunday"/>
    <x v="0"/>
    <n v="4"/>
  </r>
  <r>
    <s v="Call_8051"/>
    <s v="C0010"/>
    <n v="149"/>
    <x v="2"/>
    <d v="2023-10-01T00:00:00"/>
    <x v="58"/>
    <n v="3.3"/>
    <n v="2024"/>
    <s v="Sunday"/>
    <x v="1"/>
    <n v="3"/>
  </r>
  <r>
    <s v="Call_8052"/>
    <s v="C0007"/>
    <n v="56"/>
    <x v="4"/>
    <d v="2023-10-01T00:00:00"/>
    <x v="11"/>
    <n v="4.7"/>
    <n v="2024"/>
    <s v="Sunday"/>
    <x v="2"/>
    <n v="5"/>
  </r>
  <r>
    <s v="Call_8053"/>
    <s v="C0011"/>
    <n v="80"/>
    <x v="2"/>
    <d v="2023-10-01T00:00:00"/>
    <x v="0"/>
    <n v="3.7"/>
    <n v="2024"/>
    <s v="Sunday"/>
    <x v="0"/>
    <n v="4"/>
  </r>
  <r>
    <s v="Call_8054"/>
    <s v="C0008"/>
    <n v="131"/>
    <x v="0"/>
    <d v="2023-10-01T00:00:00"/>
    <x v="8"/>
    <n v="4.7"/>
    <n v="2024"/>
    <s v="Sunday"/>
    <x v="1"/>
    <n v="5"/>
  </r>
  <r>
    <s v="Call_8055"/>
    <s v="C0008"/>
    <n v="109"/>
    <x v="0"/>
    <d v="2023-10-01T00:00:00"/>
    <x v="85"/>
    <n v="4.5999999999999996"/>
    <n v="2024"/>
    <s v="Sunday"/>
    <x v="0"/>
    <n v="5"/>
  </r>
  <r>
    <s v="Call_8056"/>
    <s v="C0007"/>
    <n v="142"/>
    <x v="0"/>
    <d v="2023-10-01T00:00:00"/>
    <x v="85"/>
    <n v="4.8"/>
    <n v="2024"/>
    <s v="Sunday"/>
    <x v="1"/>
    <n v="5"/>
  </r>
  <r>
    <s v="Call_8057"/>
    <s v="C0009"/>
    <n v="114"/>
    <x v="4"/>
    <d v="2023-10-02T00:00:00"/>
    <x v="1"/>
    <n v="2"/>
    <n v="2024"/>
    <s v="Monday"/>
    <x v="0"/>
    <n v="2"/>
  </r>
  <r>
    <s v="Call_8058"/>
    <s v="C0014"/>
    <n v="93"/>
    <x v="2"/>
    <d v="2023-10-02T00:00:00"/>
    <x v="82"/>
    <n v="3.9"/>
    <n v="2024"/>
    <s v="Monday"/>
    <x v="0"/>
    <n v="4"/>
  </r>
  <r>
    <s v="Call_8059"/>
    <s v="C0001"/>
    <n v="43"/>
    <x v="2"/>
    <d v="2023-10-02T00:00:00"/>
    <x v="90"/>
    <n v="3"/>
    <n v="2024"/>
    <s v="Monday"/>
    <x v="2"/>
    <n v="3"/>
  </r>
  <r>
    <s v="Call_8060"/>
    <s v="C0002"/>
    <n v="78"/>
    <x v="3"/>
    <d v="2023-10-03T00:00:00"/>
    <x v="59"/>
    <n v="4.5999999999999996"/>
    <n v="2024"/>
    <s v="Tuesday"/>
    <x v="0"/>
    <n v="5"/>
  </r>
  <r>
    <s v="Call_8061"/>
    <s v="C0009"/>
    <n v="89"/>
    <x v="0"/>
    <d v="2023-10-03T00:00:00"/>
    <x v="91"/>
    <n v="3.8"/>
    <n v="2024"/>
    <s v="Tuesday"/>
    <x v="0"/>
    <n v="4"/>
  </r>
  <r>
    <s v="Call_8062"/>
    <s v="C0007"/>
    <n v="82"/>
    <x v="1"/>
    <d v="2023-10-03T00:00:00"/>
    <x v="58"/>
    <n v="4.4000000000000004"/>
    <n v="2024"/>
    <s v="Tuesday"/>
    <x v="0"/>
    <n v="4"/>
  </r>
  <r>
    <s v="Call_8063"/>
    <s v="C0011"/>
    <n v="86"/>
    <x v="0"/>
    <d v="2023-10-04T00:00:00"/>
    <x v="19"/>
    <n v="2.4"/>
    <n v="2024"/>
    <s v="Wednesday"/>
    <x v="0"/>
    <n v="2"/>
  </r>
  <r>
    <s v="Call_8064"/>
    <s v="C0012"/>
    <n v="57"/>
    <x v="3"/>
    <d v="2023-10-04T00:00:00"/>
    <x v="43"/>
    <n v="4.5"/>
    <n v="2024"/>
    <s v="Wednesday"/>
    <x v="2"/>
    <n v="5"/>
  </r>
  <r>
    <s v="Call_8065"/>
    <s v="C0014"/>
    <n v="103"/>
    <x v="4"/>
    <d v="2023-10-04T00:00:00"/>
    <x v="42"/>
    <n v="4.5"/>
    <n v="2024"/>
    <s v="Wednesday"/>
    <x v="0"/>
    <n v="5"/>
  </r>
  <r>
    <s v="Call_8066"/>
    <s v="C0013"/>
    <n v="138"/>
    <x v="3"/>
    <d v="2023-10-05T00:00:00"/>
    <x v="34"/>
    <n v="2.7"/>
    <n v="2024"/>
    <s v="Thursday"/>
    <x v="1"/>
    <n v="3"/>
  </r>
  <r>
    <s v="Call_8067"/>
    <s v="C0010"/>
    <n v="88"/>
    <x v="1"/>
    <d v="2023-10-05T00:00:00"/>
    <x v="62"/>
    <n v="4.9000000000000004"/>
    <n v="2024"/>
    <s v="Thursday"/>
    <x v="0"/>
    <n v="5"/>
  </r>
  <r>
    <s v="Call_8068"/>
    <s v="C0009"/>
    <n v="118"/>
    <x v="2"/>
    <d v="2023-10-05T00:00:00"/>
    <x v="36"/>
    <n v="3.7"/>
    <n v="2024"/>
    <s v="Thursday"/>
    <x v="0"/>
    <n v="4"/>
  </r>
  <r>
    <s v="Call_8069"/>
    <s v="C0011"/>
    <n v="4"/>
    <x v="0"/>
    <d v="2023-10-05T00:00:00"/>
    <x v="16"/>
    <n v="3.9"/>
    <n v="2024"/>
    <s v="Thursday"/>
    <x v="4"/>
    <n v="4"/>
  </r>
  <r>
    <s v="Call_8070"/>
    <s v="C0001"/>
    <n v="78"/>
    <x v="4"/>
    <d v="2023-10-06T00:00:00"/>
    <x v="61"/>
    <n v="3.5"/>
    <n v="2024"/>
    <s v="Friday"/>
    <x v="0"/>
    <n v="4"/>
  </r>
  <r>
    <s v="Call_8071"/>
    <s v="C0006"/>
    <n v="69"/>
    <x v="0"/>
    <d v="2023-10-06T00:00:00"/>
    <x v="51"/>
    <n v="2.7"/>
    <n v="2024"/>
    <s v="Friday"/>
    <x v="0"/>
    <n v="3"/>
  </r>
  <r>
    <s v="Call_8072"/>
    <s v="C0007"/>
    <n v="90"/>
    <x v="3"/>
    <d v="2023-10-06T00:00:00"/>
    <x v="59"/>
    <n v="3.9"/>
    <n v="2024"/>
    <s v="Friday"/>
    <x v="0"/>
    <n v="4"/>
  </r>
  <r>
    <s v="Call_8073"/>
    <s v="C0006"/>
    <n v="134"/>
    <x v="0"/>
    <d v="2023-10-06T00:00:00"/>
    <x v="56"/>
    <n v="3.4"/>
    <n v="2024"/>
    <s v="Friday"/>
    <x v="1"/>
    <n v="3"/>
  </r>
  <r>
    <s v="Call_8074"/>
    <s v="C0004"/>
    <n v="65"/>
    <x v="2"/>
    <d v="2023-10-06T00:00:00"/>
    <x v="69"/>
    <n v="5"/>
    <n v="2024"/>
    <s v="Friday"/>
    <x v="0"/>
    <n v="5"/>
  </r>
  <r>
    <s v="Call_8075"/>
    <s v="C0005"/>
    <n v="54"/>
    <x v="4"/>
    <d v="2023-10-07T00:00:00"/>
    <x v="92"/>
    <n v="4.4000000000000004"/>
    <n v="2024"/>
    <s v="Saturday"/>
    <x v="2"/>
    <n v="4"/>
  </r>
  <r>
    <s v="Call_8076"/>
    <s v="C0005"/>
    <n v="90"/>
    <x v="4"/>
    <d v="2023-10-07T00:00:00"/>
    <x v="59"/>
    <n v="4.3"/>
    <n v="2024"/>
    <s v="Saturday"/>
    <x v="0"/>
    <n v="4"/>
  </r>
  <r>
    <s v="Call_8077"/>
    <s v="C0007"/>
    <n v="66"/>
    <x v="4"/>
    <d v="2023-10-07T00:00:00"/>
    <x v="40"/>
    <n v="4.7"/>
    <n v="2024"/>
    <s v="Saturday"/>
    <x v="0"/>
    <n v="5"/>
  </r>
  <r>
    <s v="Call_8078"/>
    <s v="C0011"/>
    <n v="150"/>
    <x v="4"/>
    <d v="2023-10-08T00:00:00"/>
    <x v="63"/>
    <n v="4.0999999999999996"/>
    <n v="2024"/>
    <s v="Sunday"/>
    <x v="1"/>
    <n v="4"/>
  </r>
  <r>
    <s v="Call_8079"/>
    <s v="C0002"/>
    <n v="18"/>
    <x v="2"/>
    <d v="2023-10-08T00:00:00"/>
    <x v="11"/>
    <n v="4.8"/>
    <n v="2024"/>
    <s v="Sunday"/>
    <x v="3"/>
    <n v="5"/>
  </r>
  <r>
    <s v="Call_8080"/>
    <s v="C0005"/>
    <n v="87"/>
    <x v="2"/>
    <d v="2023-10-08T00:00:00"/>
    <x v="50"/>
    <n v="4.2"/>
    <n v="2024"/>
    <s v="Sunday"/>
    <x v="0"/>
    <n v="4"/>
  </r>
  <r>
    <s v="Call_8081"/>
    <s v="C0013"/>
    <n v="94"/>
    <x v="4"/>
    <d v="2023-10-09T00:00:00"/>
    <x v="31"/>
    <n v="3.4"/>
    <n v="2024"/>
    <s v="Monday"/>
    <x v="0"/>
    <n v="3"/>
  </r>
  <r>
    <s v="Call_8082"/>
    <s v="C0012"/>
    <n v="56"/>
    <x v="4"/>
    <d v="2023-10-09T00:00:00"/>
    <x v="49"/>
    <n v="3.3"/>
    <n v="2024"/>
    <s v="Monday"/>
    <x v="2"/>
    <n v="3"/>
  </r>
  <r>
    <s v="Call_8083"/>
    <s v="C0009"/>
    <n v="41"/>
    <x v="1"/>
    <d v="2023-10-10T00:00:00"/>
    <x v="28"/>
    <n v="3.8"/>
    <n v="2024"/>
    <s v="Tuesday"/>
    <x v="2"/>
    <n v="4"/>
  </r>
  <r>
    <s v="Call_8084"/>
    <s v="C0011"/>
    <n v="119"/>
    <x v="3"/>
    <d v="2023-10-10T00:00:00"/>
    <x v="22"/>
    <n v="3.9"/>
    <n v="2024"/>
    <s v="Tuesday"/>
    <x v="0"/>
    <n v="4"/>
  </r>
  <r>
    <s v="Call_8085"/>
    <s v="C0014"/>
    <n v="108"/>
    <x v="4"/>
    <d v="2023-10-10T00:00:00"/>
    <x v="12"/>
    <n v="2.5"/>
    <n v="2024"/>
    <s v="Tuesday"/>
    <x v="0"/>
    <n v="3"/>
  </r>
  <r>
    <s v="Call_8086"/>
    <s v="C0001"/>
    <n v="63"/>
    <x v="0"/>
    <d v="2023-10-10T00:00:00"/>
    <x v="60"/>
    <n v="4.9000000000000004"/>
    <n v="2024"/>
    <s v="Tuesday"/>
    <x v="0"/>
    <n v="5"/>
  </r>
  <r>
    <s v="Call_8087"/>
    <s v="C0015"/>
    <n v="59"/>
    <x v="4"/>
    <d v="2023-10-10T00:00:00"/>
    <x v="106"/>
    <n v="4.8"/>
    <n v="2024"/>
    <s v="Tuesday"/>
    <x v="2"/>
    <n v="5"/>
  </r>
  <r>
    <s v="Call_8088"/>
    <s v="C0015"/>
    <n v="90"/>
    <x v="1"/>
    <d v="2023-10-10T00:00:00"/>
    <x v="43"/>
    <n v="4.7"/>
    <n v="2024"/>
    <s v="Tuesday"/>
    <x v="0"/>
    <n v="5"/>
  </r>
  <r>
    <s v="Call_8089"/>
    <s v="C0010"/>
    <n v="55"/>
    <x v="1"/>
    <d v="2023-10-10T00:00:00"/>
    <x v="78"/>
    <n v="4.7"/>
    <n v="2024"/>
    <s v="Tuesday"/>
    <x v="2"/>
    <n v="5"/>
  </r>
  <r>
    <s v="Call_8090"/>
    <s v="C0014"/>
    <n v="84"/>
    <x v="3"/>
    <d v="2023-10-11T00:00:00"/>
    <x v="48"/>
    <n v="3.3"/>
    <n v="2024"/>
    <s v="Wednesday"/>
    <x v="0"/>
    <n v="3"/>
  </r>
  <r>
    <s v="Call_8091"/>
    <s v="C0014"/>
    <n v="150"/>
    <x v="2"/>
    <d v="2023-10-11T00:00:00"/>
    <x v="10"/>
    <n v="4.7"/>
    <n v="2024"/>
    <s v="Wednesday"/>
    <x v="1"/>
    <n v="5"/>
  </r>
  <r>
    <s v="Call_8092"/>
    <s v="C0008"/>
    <n v="69"/>
    <x v="4"/>
    <d v="2023-10-11T00:00:00"/>
    <x v="73"/>
    <n v="4.5"/>
    <n v="2024"/>
    <s v="Wednesday"/>
    <x v="0"/>
    <n v="5"/>
  </r>
  <r>
    <s v="Call_8093"/>
    <s v="C0003"/>
    <n v="120"/>
    <x v="1"/>
    <d v="2023-10-12T00:00:00"/>
    <x v="21"/>
    <n v="4.5999999999999996"/>
    <n v="2024"/>
    <s v="Thursday"/>
    <x v="0"/>
    <n v="5"/>
  </r>
  <r>
    <s v="Call_8094"/>
    <s v="C0005"/>
    <n v="126"/>
    <x v="3"/>
    <d v="2023-10-12T00:00:00"/>
    <x v="25"/>
    <n v="4.8"/>
    <n v="2024"/>
    <s v="Thursday"/>
    <x v="1"/>
    <n v="5"/>
  </r>
  <r>
    <s v="Call_8095"/>
    <s v="C0008"/>
    <n v="120"/>
    <x v="0"/>
    <d v="2023-10-12T00:00:00"/>
    <x v="14"/>
    <n v="4.3"/>
    <n v="2024"/>
    <s v="Thursday"/>
    <x v="0"/>
    <n v="4"/>
  </r>
  <r>
    <s v="Call_8096"/>
    <s v="C0005"/>
    <n v="139"/>
    <x v="1"/>
    <d v="2023-10-13T00:00:00"/>
    <x v="43"/>
    <n v="4.7"/>
    <n v="2024"/>
    <s v="Friday"/>
    <x v="1"/>
    <n v="5"/>
  </r>
  <r>
    <s v="Call_8097"/>
    <s v="C0010"/>
    <n v="124"/>
    <x v="4"/>
    <d v="2023-10-14T00:00:00"/>
    <x v="87"/>
    <n v="4.8"/>
    <n v="2024"/>
    <s v="Saturday"/>
    <x v="1"/>
    <n v="5"/>
  </r>
  <r>
    <s v="Call_8098"/>
    <s v="C0003"/>
    <n v="108"/>
    <x v="0"/>
    <d v="2023-10-14T00:00:00"/>
    <x v="85"/>
    <n v="4.7"/>
    <n v="2024"/>
    <s v="Saturday"/>
    <x v="0"/>
    <n v="5"/>
  </r>
  <r>
    <s v="Call_8099"/>
    <s v="C0004"/>
    <n v="132"/>
    <x v="2"/>
    <d v="2023-10-14T00:00:00"/>
    <x v="21"/>
    <n v="4.3"/>
    <n v="2024"/>
    <s v="Saturday"/>
    <x v="1"/>
    <n v="4"/>
  </r>
  <r>
    <s v="Call_8100"/>
    <s v="C0001"/>
    <n v="67"/>
    <x v="2"/>
    <d v="2023-10-14T00:00:00"/>
    <x v="7"/>
    <n v="3.8"/>
    <n v="2024"/>
    <s v="Saturday"/>
    <x v="0"/>
    <n v="4"/>
  </r>
  <r>
    <s v="Call_8101"/>
    <s v="C0007"/>
    <n v="125"/>
    <x v="2"/>
    <d v="2023-10-14T00:00:00"/>
    <x v="95"/>
    <n v="4.5999999999999996"/>
    <n v="2024"/>
    <s v="Saturday"/>
    <x v="1"/>
    <n v="5"/>
  </r>
  <r>
    <s v="Call_8102"/>
    <s v="C0003"/>
    <n v="23"/>
    <x v="0"/>
    <d v="2023-10-14T00:00:00"/>
    <x v="13"/>
    <n v="2.9"/>
    <n v="2024"/>
    <s v="Saturday"/>
    <x v="3"/>
    <n v="3"/>
  </r>
  <r>
    <s v="Call_8103"/>
    <s v="C0011"/>
    <n v="131"/>
    <x v="4"/>
    <d v="2023-10-15T00:00:00"/>
    <x v="49"/>
    <n v="4.8"/>
    <n v="2024"/>
    <s v="Sunday"/>
    <x v="1"/>
    <n v="5"/>
  </r>
  <r>
    <s v="Call_8104"/>
    <s v="C0004"/>
    <n v="56"/>
    <x v="1"/>
    <d v="2023-10-15T00:00:00"/>
    <x v="94"/>
    <n v="4.9000000000000004"/>
    <n v="2024"/>
    <s v="Sunday"/>
    <x v="2"/>
    <n v="5"/>
  </r>
  <r>
    <s v="Call_8105"/>
    <s v="C0011"/>
    <n v="70"/>
    <x v="4"/>
    <d v="2023-10-15T00:00:00"/>
    <x v="25"/>
    <n v="3.4"/>
    <n v="2024"/>
    <s v="Sunday"/>
    <x v="0"/>
    <n v="3"/>
  </r>
  <r>
    <s v="Call_8106"/>
    <s v="C0011"/>
    <n v="55"/>
    <x v="2"/>
    <d v="2023-10-15T00:00:00"/>
    <x v="24"/>
    <n v="4.3"/>
    <n v="2024"/>
    <s v="Sunday"/>
    <x v="2"/>
    <n v="4"/>
  </r>
  <r>
    <s v="Call_8107"/>
    <s v="C0007"/>
    <n v="77"/>
    <x v="1"/>
    <d v="2023-10-15T00:00:00"/>
    <x v="38"/>
    <n v="3.9"/>
    <n v="2024"/>
    <s v="Sunday"/>
    <x v="0"/>
    <n v="4"/>
  </r>
  <r>
    <s v="Call_8108"/>
    <s v="C0014"/>
    <n v="133"/>
    <x v="4"/>
    <d v="2023-10-16T00:00:00"/>
    <x v="45"/>
    <n v="3.9"/>
    <n v="2024"/>
    <s v="Monday"/>
    <x v="1"/>
    <n v="4"/>
  </r>
  <r>
    <s v="Call_8109"/>
    <s v="C0007"/>
    <n v="77"/>
    <x v="1"/>
    <d v="2023-10-16T00:00:00"/>
    <x v="92"/>
    <n v="1.5"/>
    <n v="2024"/>
    <s v="Monday"/>
    <x v="0"/>
    <n v="2"/>
  </r>
  <r>
    <s v="Call_8110"/>
    <s v="C0015"/>
    <n v="103"/>
    <x v="4"/>
    <d v="2023-10-16T00:00:00"/>
    <x v="38"/>
    <n v="3"/>
    <n v="2024"/>
    <s v="Monday"/>
    <x v="0"/>
    <n v="3"/>
  </r>
  <r>
    <s v="Call_8111"/>
    <s v="C0008"/>
    <n v="32"/>
    <x v="1"/>
    <d v="2023-10-16T00:00:00"/>
    <x v="28"/>
    <n v="4.2"/>
    <n v="2024"/>
    <s v="Monday"/>
    <x v="2"/>
    <n v="4"/>
  </r>
  <r>
    <s v="Call_8112"/>
    <s v="C0014"/>
    <n v="30"/>
    <x v="4"/>
    <d v="2023-10-16T00:00:00"/>
    <x v="100"/>
    <n v="3.7"/>
    <n v="2024"/>
    <s v="Monday"/>
    <x v="3"/>
    <n v="4"/>
  </r>
  <r>
    <s v="Call_8113"/>
    <s v="C0005"/>
    <n v="87"/>
    <x v="3"/>
    <d v="2023-10-16T00:00:00"/>
    <x v="79"/>
    <n v="4.2"/>
    <n v="2024"/>
    <s v="Monday"/>
    <x v="0"/>
    <n v="4"/>
  </r>
  <r>
    <s v="Call_8114"/>
    <s v="C0007"/>
    <n v="137"/>
    <x v="0"/>
    <d v="2023-10-17T00:00:00"/>
    <x v="82"/>
    <n v="4.4000000000000004"/>
    <n v="2024"/>
    <s v="Tuesday"/>
    <x v="1"/>
    <n v="4"/>
  </r>
  <r>
    <s v="Call_8115"/>
    <s v="C0013"/>
    <n v="96"/>
    <x v="4"/>
    <d v="2023-10-17T00:00:00"/>
    <x v="46"/>
    <n v="4"/>
    <n v="2024"/>
    <s v="Tuesday"/>
    <x v="0"/>
    <n v="4"/>
  </r>
  <r>
    <s v="Call_8116"/>
    <s v="C0010"/>
    <n v="155"/>
    <x v="4"/>
    <d v="2023-10-18T00:00:00"/>
    <x v="18"/>
    <n v="4.7"/>
    <n v="2024"/>
    <s v="Wednesday"/>
    <x v="1"/>
    <n v="5"/>
  </r>
  <r>
    <s v="Call_8117"/>
    <s v="C0014"/>
    <n v="173"/>
    <x v="2"/>
    <d v="2023-10-18T00:00:00"/>
    <x v="42"/>
    <n v="2.8"/>
    <n v="2024"/>
    <s v="Wednesday"/>
    <x v="1"/>
    <n v="3"/>
  </r>
  <r>
    <s v="Call_8118"/>
    <s v="C0010"/>
    <n v="127"/>
    <x v="4"/>
    <d v="2023-10-18T00:00:00"/>
    <x v="20"/>
    <n v="2.5"/>
    <n v="2024"/>
    <s v="Wednesday"/>
    <x v="1"/>
    <n v="3"/>
  </r>
  <r>
    <s v="Call_8119"/>
    <s v="C0004"/>
    <n v="117"/>
    <x v="2"/>
    <d v="2023-10-18T00:00:00"/>
    <x v="31"/>
    <n v="3.4"/>
    <n v="2024"/>
    <s v="Wednesday"/>
    <x v="0"/>
    <n v="3"/>
  </r>
  <r>
    <s v="Call_8120"/>
    <s v="C0003"/>
    <n v="133"/>
    <x v="1"/>
    <d v="2023-10-18T00:00:00"/>
    <x v="83"/>
    <n v="4.8"/>
    <n v="2024"/>
    <s v="Wednesday"/>
    <x v="1"/>
    <n v="5"/>
  </r>
  <r>
    <s v="Call_8121"/>
    <s v="C0002"/>
    <n v="166"/>
    <x v="3"/>
    <d v="2023-10-19T00:00:00"/>
    <x v="87"/>
    <n v="4.3"/>
    <n v="2024"/>
    <s v="Thursday"/>
    <x v="1"/>
    <n v="4"/>
  </r>
  <r>
    <s v="Call_8122"/>
    <s v="C0003"/>
    <n v="50"/>
    <x v="2"/>
    <d v="2023-10-19T00:00:00"/>
    <x v="39"/>
    <n v="4.5"/>
    <n v="2024"/>
    <s v="Thursday"/>
    <x v="2"/>
    <n v="5"/>
  </r>
  <r>
    <s v="Call_8123"/>
    <s v="C0015"/>
    <n v="43"/>
    <x v="1"/>
    <d v="2023-10-19T00:00:00"/>
    <x v="59"/>
    <n v="3.6"/>
    <n v="2024"/>
    <s v="Thursday"/>
    <x v="2"/>
    <n v="4"/>
  </r>
  <r>
    <s v="Call_8124"/>
    <s v="C0013"/>
    <n v="124"/>
    <x v="4"/>
    <d v="2023-10-19T00:00:00"/>
    <x v="28"/>
    <n v="3.7"/>
    <n v="2024"/>
    <s v="Thursday"/>
    <x v="1"/>
    <n v="4"/>
  </r>
  <r>
    <s v="Call_8125"/>
    <s v="C0014"/>
    <n v="94"/>
    <x v="4"/>
    <d v="2023-10-19T00:00:00"/>
    <x v="31"/>
    <n v="3.5"/>
    <n v="2024"/>
    <s v="Thursday"/>
    <x v="0"/>
    <n v="4"/>
  </r>
  <r>
    <s v="Call_8126"/>
    <s v="C0015"/>
    <n v="126"/>
    <x v="3"/>
    <d v="2023-10-20T00:00:00"/>
    <x v="24"/>
    <n v="4.7"/>
    <n v="2024"/>
    <s v="Friday"/>
    <x v="1"/>
    <n v="5"/>
  </r>
  <r>
    <s v="Call_8127"/>
    <s v="C0002"/>
    <n v="105"/>
    <x v="2"/>
    <d v="2023-10-20T00:00:00"/>
    <x v="101"/>
    <n v="3.5"/>
    <n v="2024"/>
    <s v="Friday"/>
    <x v="0"/>
    <n v="4"/>
  </r>
  <r>
    <s v="Call_8128"/>
    <s v="C0011"/>
    <n v="60"/>
    <x v="0"/>
    <d v="2023-10-21T00:00:00"/>
    <x v="1"/>
    <n v="3.9"/>
    <n v="2024"/>
    <s v="Saturday"/>
    <x v="2"/>
    <n v="4"/>
  </r>
  <r>
    <s v="Call_8129"/>
    <s v="C0011"/>
    <n v="72"/>
    <x v="2"/>
    <d v="2023-10-21T00:00:00"/>
    <x v="88"/>
    <n v="4.8"/>
    <n v="2024"/>
    <s v="Saturday"/>
    <x v="0"/>
    <n v="5"/>
  </r>
  <r>
    <s v="Call_8130"/>
    <s v="C0012"/>
    <n v="40"/>
    <x v="2"/>
    <d v="2023-10-21T00:00:00"/>
    <x v="4"/>
    <n v="4"/>
    <n v="2024"/>
    <s v="Saturday"/>
    <x v="2"/>
    <n v="4"/>
  </r>
  <r>
    <s v="Call_8131"/>
    <s v="C0008"/>
    <n v="54"/>
    <x v="3"/>
    <d v="2023-10-22T00:00:00"/>
    <x v="31"/>
    <n v="4.7"/>
    <n v="2024"/>
    <s v="Sunday"/>
    <x v="2"/>
    <n v="5"/>
  </r>
  <r>
    <s v="Call_8132"/>
    <s v="C0004"/>
    <n v="81"/>
    <x v="1"/>
    <d v="2023-10-22T00:00:00"/>
    <x v="83"/>
    <n v="3.6"/>
    <n v="2024"/>
    <s v="Sunday"/>
    <x v="0"/>
    <n v="4"/>
  </r>
  <r>
    <s v="Call_8133"/>
    <s v="C0008"/>
    <n v="76"/>
    <x v="4"/>
    <d v="2023-10-22T00:00:00"/>
    <x v="24"/>
    <n v="4.5"/>
    <n v="2024"/>
    <s v="Sunday"/>
    <x v="0"/>
    <n v="5"/>
  </r>
  <r>
    <s v="Call_8134"/>
    <s v="C0008"/>
    <n v="37"/>
    <x v="0"/>
    <d v="2023-10-23T00:00:00"/>
    <x v="83"/>
    <n v="4"/>
    <n v="2024"/>
    <s v="Monday"/>
    <x v="2"/>
    <n v="4"/>
  </r>
  <r>
    <s v="Call_8135"/>
    <s v="C0002"/>
    <n v="96"/>
    <x v="3"/>
    <d v="2023-10-23T00:00:00"/>
    <x v="5"/>
    <n v="4.5"/>
    <n v="2024"/>
    <s v="Monday"/>
    <x v="0"/>
    <n v="5"/>
  </r>
  <r>
    <s v="Call_8136"/>
    <s v="C0011"/>
    <n v="19"/>
    <x v="4"/>
    <d v="2023-10-24T00:00:00"/>
    <x v="81"/>
    <n v="3.9"/>
    <n v="2024"/>
    <s v="Tuesday"/>
    <x v="3"/>
    <n v="4"/>
  </r>
  <r>
    <s v="Call_8137"/>
    <s v="C0012"/>
    <n v="72"/>
    <x v="0"/>
    <d v="2023-10-24T00:00:00"/>
    <x v="102"/>
    <n v="4.3"/>
    <n v="2024"/>
    <s v="Tuesday"/>
    <x v="0"/>
    <n v="4"/>
  </r>
  <r>
    <s v="Call_8138"/>
    <s v="C0014"/>
    <n v="73"/>
    <x v="1"/>
    <d v="2023-10-24T00:00:00"/>
    <x v="67"/>
    <n v="3.6"/>
    <n v="2024"/>
    <s v="Tuesday"/>
    <x v="0"/>
    <n v="4"/>
  </r>
  <r>
    <s v="Call_8139"/>
    <s v="C0001"/>
    <n v="87"/>
    <x v="1"/>
    <d v="2023-10-24T00:00:00"/>
    <x v="28"/>
    <n v="3.6"/>
    <n v="2024"/>
    <s v="Tuesday"/>
    <x v="0"/>
    <n v="4"/>
  </r>
  <r>
    <s v="Call_8140"/>
    <s v="C0001"/>
    <n v="68"/>
    <x v="1"/>
    <d v="2023-10-25T00:00:00"/>
    <x v="13"/>
    <n v="4"/>
    <n v="2024"/>
    <s v="Wednesday"/>
    <x v="0"/>
    <n v="4"/>
  </r>
  <r>
    <s v="Call_8141"/>
    <s v="C0012"/>
    <n v="101"/>
    <x v="1"/>
    <d v="2023-10-25T00:00:00"/>
    <x v="29"/>
    <n v="4.2"/>
    <n v="2024"/>
    <s v="Wednesday"/>
    <x v="0"/>
    <n v="4"/>
  </r>
  <r>
    <s v="Call_8142"/>
    <s v="C0012"/>
    <n v="107"/>
    <x v="0"/>
    <d v="2023-10-26T00:00:00"/>
    <x v="38"/>
    <n v="4.3"/>
    <n v="2024"/>
    <s v="Thursday"/>
    <x v="0"/>
    <n v="4"/>
  </r>
  <r>
    <s v="Call_8143"/>
    <s v="C0009"/>
    <n v="109"/>
    <x v="2"/>
    <d v="2023-10-26T00:00:00"/>
    <x v="67"/>
    <n v="3.8"/>
    <n v="2024"/>
    <s v="Thursday"/>
    <x v="0"/>
    <n v="4"/>
  </r>
  <r>
    <s v="Call_8144"/>
    <s v="C0013"/>
    <n v="171"/>
    <x v="0"/>
    <d v="2023-10-26T00:00:00"/>
    <x v="59"/>
    <n v="4.4000000000000004"/>
    <n v="2024"/>
    <s v="Thursday"/>
    <x v="1"/>
    <n v="4"/>
  </r>
  <r>
    <s v="Call_8145"/>
    <s v="C0011"/>
    <n v="21"/>
    <x v="0"/>
    <d v="2023-10-26T00:00:00"/>
    <x v="30"/>
    <n v="4.7"/>
    <n v="2024"/>
    <s v="Thursday"/>
    <x v="3"/>
    <n v="5"/>
  </r>
  <r>
    <s v="Call_8146"/>
    <s v="C0004"/>
    <n v="94"/>
    <x v="0"/>
    <d v="2023-10-27T00:00:00"/>
    <x v="21"/>
    <n v="3.6"/>
    <n v="2024"/>
    <s v="Friday"/>
    <x v="0"/>
    <n v="4"/>
  </r>
  <r>
    <s v="Call_8147"/>
    <s v="C0014"/>
    <n v="97"/>
    <x v="2"/>
    <d v="2023-10-27T00:00:00"/>
    <x v="4"/>
    <n v="2.2000000000000002"/>
    <n v="2024"/>
    <s v="Friday"/>
    <x v="0"/>
    <n v="2"/>
  </r>
  <r>
    <s v="Call_8148"/>
    <s v="C0002"/>
    <n v="72"/>
    <x v="2"/>
    <d v="2023-10-27T00:00:00"/>
    <x v="10"/>
    <n v="4.8"/>
    <n v="2024"/>
    <s v="Friday"/>
    <x v="0"/>
    <n v="5"/>
  </r>
  <r>
    <s v="Call_8149"/>
    <s v="C0013"/>
    <n v="143"/>
    <x v="3"/>
    <d v="2023-10-28T00:00:00"/>
    <x v="81"/>
    <n v="4.3"/>
    <n v="2024"/>
    <s v="Saturday"/>
    <x v="1"/>
    <n v="4"/>
  </r>
  <r>
    <s v="Call_8150"/>
    <s v="C0013"/>
    <n v="64"/>
    <x v="2"/>
    <d v="2023-10-28T00:00:00"/>
    <x v="101"/>
    <n v="2.2000000000000002"/>
    <n v="2024"/>
    <s v="Saturday"/>
    <x v="0"/>
    <n v="2"/>
  </r>
  <r>
    <s v="Call_8151"/>
    <s v="C0013"/>
    <n v="69"/>
    <x v="2"/>
    <d v="2023-10-28T00:00:00"/>
    <x v="45"/>
    <n v="4.8"/>
    <n v="2024"/>
    <s v="Saturday"/>
    <x v="0"/>
    <n v="5"/>
  </r>
  <r>
    <s v="Call_8152"/>
    <s v="C0013"/>
    <n v="18"/>
    <x v="4"/>
    <d v="2023-10-28T00:00:00"/>
    <x v="94"/>
    <n v="2.6"/>
    <n v="2024"/>
    <s v="Saturday"/>
    <x v="3"/>
    <n v="3"/>
  </r>
  <r>
    <s v="Call_8153"/>
    <s v="C0014"/>
    <n v="100"/>
    <x v="3"/>
    <d v="2023-10-28T00:00:00"/>
    <x v="69"/>
    <n v="2.6"/>
    <n v="2024"/>
    <s v="Saturday"/>
    <x v="0"/>
    <n v="3"/>
  </r>
  <r>
    <s v="Call_8154"/>
    <s v="C0010"/>
    <n v="110"/>
    <x v="1"/>
    <d v="2023-10-29T00:00:00"/>
    <x v="66"/>
    <n v="3.4"/>
    <n v="2024"/>
    <s v="Sunday"/>
    <x v="0"/>
    <n v="3"/>
  </r>
  <r>
    <s v="Call_8155"/>
    <s v="C0006"/>
    <n v="41"/>
    <x v="0"/>
    <d v="2023-10-29T00:00:00"/>
    <x v="21"/>
    <n v="3.7"/>
    <n v="2024"/>
    <s v="Sunday"/>
    <x v="2"/>
    <n v="4"/>
  </r>
  <r>
    <s v="Call_8156"/>
    <s v="C0010"/>
    <n v="147"/>
    <x v="1"/>
    <d v="2023-10-29T00:00:00"/>
    <x v="12"/>
    <n v="2.1"/>
    <n v="2024"/>
    <s v="Sunday"/>
    <x v="1"/>
    <n v="2"/>
  </r>
  <r>
    <s v="Call_8157"/>
    <s v="C0004"/>
    <n v="31"/>
    <x v="4"/>
    <d v="2023-10-30T00:00:00"/>
    <x v="7"/>
    <n v="3.6"/>
    <n v="2024"/>
    <s v="Monday"/>
    <x v="2"/>
    <n v="4"/>
  </r>
  <r>
    <s v="Call_8158"/>
    <s v="C0001"/>
    <n v="142"/>
    <x v="0"/>
    <d v="2023-10-30T00:00:00"/>
    <x v="45"/>
    <n v="3.8"/>
    <n v="2024"/>
    <s v="Monday"/>
    <x v="1"/>
    <n v="4"/>
  </r>
  <r>
    <s v="Call_8159"/>
    <s v="C0009"/>
    <n v="61"/>
    <x v="0"/>
    <d v="2023-10-30T00:00:00"/>
    <x v="95"/>
    <n v="3.1"/>
    <n v="2024"/>
    <s v="Monday"/>
    <x v="0"/>
    <n v="3"/>
  </r>
  <r>
    <s v="Call_8160"/>
    <s v="C0003"/>
    <n v="86"/>
    <x v="4"/>
    <d v="2023-10-31T00:00:00"/>
    <x v="44"/>
    <n v="4.4000000000000004"/>
    <n v="2024"/>
    <s v="Tuesday"/>
    <x v="0"/>
    <n v="4"/>
  </r>
  <r>
    <s v="Call_8161"/>
    <s v="C0005"/>
    <n v="165"/>
    <x v="3"/>
    <d v="2023-11-01T00:00:00"/>
    <x v="2"/>
    <n v="4.8"/>
    <n v="2024"/>
    <s v="Wednesday"/>
    <x v="1"/>
    <n v="5"/>
  </r>
  <r>
    <s v="Call_8162"/>
    <s v="C0008"/>
    <n v="62"/>
    <x v="1"/>
    <d v="2023-11-01T00:00:00"/>
    <x v="38"/>
    <n v="3.5"/>
    <n v="2024"/>
    <s v="Wednesday"/>
    <x v="0"/>
    <n v="4"/>
  </r>
  <r>
    <s v="Call_8163"/>
    <s v="C0014"/>
    <n v="103"/>
    <x v="3"/>
    <d v="2023-11-02T00:00:00"/>
    <x v="2"/>
    <n v="4.4000000000000004"/>
    <n v="2024"/>
    <s v="Thursday"/>
    <x v="0"/>
    <n v="4"/>
  </r>
  <r>
    <s v="Call_8164"/>
    <s v="C0001"/>
    <n v="56"/>
    <x v="4"/>
    <d v="2023-11-03T00:00:00"/>
    <x v="42"/>
    <n v="3.8"/>
    <n v="2024"/>
    <s v="Friday"/>
    <x v="2"/>
    <n v="4"/>
  </r>
  <r>
    <s v="Call_8165"/>
    <s v="C0012"/>
    <n v="114"/>
    <x v="0"/>
    <d v="2023-11-04T00:00:00"/>
    <x v="89"/>
    <n v="3.8"/>
    <n v="2024"/>
    <s v="Saturday"/>
    <x v="0"/>
    <n v="4"/>
  </r>
  <r>
    <s v="Call_8166"/>
    <s v="C0001"/>
    <n v="112"/>
    <x v="2"/>
    <d v="2023-11-04T00:00:00"/>
    <x v="70"/>
    <n v="4.5999999999999996"/>
    <n v="2024"/>
    <s v="Saturday"/>
    <x v="0"/>
    <n v="5"/>
  </r>
  <r>
    <s v="Call_8167"/>
    <s v="C0007"/>
    <n v="52"/>
    <x v="1"/>
    <d v="2023-11-06T00:00:00"/>
    <x v="96"/>
    <n v="5"/>
    <n v="2024"/>
    <s v="Monday"/>
    <x v="2"/>
    <n v="5"/>
  </r>
  <r>
    <s v="Call_8168"/>
    <s v="C0014"/>
    <n v="105"/>
    <x v="3"/>
    <d v="2023-11-07T00:00:00"/>
    <x v="54"/>
    <n v="3.2"/>
    <n v="2024"/>
    <s v="Tuesday"/>
    <x v="0"/>
    <n v="3"/>
  </r>
  <r>
    <s v="Call_8169"/>
    <s v="C0005"/>
    <n v="91"/>
    <x v="4"/>
    <d v="2023-11-07T00:00:00"/>
    <x v="27"/>
    <n v="3.7"/>
    <n v="2024"/>
    <s v="Tuesday"/>
    <x v="0"/>
    <n v="4"/>
  </r>
  <r>
    <s v="Call_8170"/>
    <s v="C0015"/>
    <n v="74"/>
    <x v="0"/>
    <d v="2023-11-08T00:00:00"/>
    <x v="42"/>
    <n v="2.7"/>
    <n v="2024"/>
    <s v="Wednesday"/>
    <x v="0"/>
    <n v="3"/>
  </r>
  <r>
    <s v="Call_8171"/>
    <s v="C0015"/>
    <n v="30"/>
    <x v="4"/>
    <d v="2023-11-08T00:00:00"/>
    <x v="59"/>
    <n v="4"/>
    <n v="2024"/>
    <s v="Wednesday"/>
    <x v="3"/>
    <n v="4"/>
  </r>
  <r>
    <s v="Call_8172"/>
    <s v="C0005"/>
    <n v="56"/>
    <x v="1"/>
    <d v="2023-11-08T00:00:00"/>
    <x v="55"/>
    <n v="2.6"/>
    <n v="2024"/>
    <s v="Wednesday"/>
    <x v="2"/>
    <n v="3"/>
  </r>
  <r>
    <s v="Call_8173"/>
    <s v="C0015"/>
    <n v="151"/>
    <x v="2"/>
    <d v="2023-11-08T00:00:00"/>
    <x v="59"/>
    <n v="4.5999999999999996"/>
    <n v="2024"/>
    <s v="Wednesday"/>
    <x v="1"/>
    <n v="5"/>
  </r>
  <r>
    <s v="Call_8174"/>
    <s v="C0004"/>
    <n v="108"/>
    <x v="3"/>
    <d v="2023-11-09T00:00:00"/>
    <x v="58"/>
    <n v="2.7"/>
    <n v="2024"/>
    <s v="Thursday"/>
    <x v="0"/>
    <n v="3"/>
  </r>
  <r>
    <s v="Call_8175"/>
    <s v="C0012"/>
    <n v="124"/>
    <x v="0"/>
    <d v="2023-11-09T00:00:00"/>
    <x v="46"/>
    <n v="3.5"/>
    <n v="2024"/>
    <s v="Thursday"/>
    <x v="1"/>
    <n v="4"/>
  </r>
  <r>
    <s v="Call_8176"/>
    <s v="C0014"/>
    <n v="110"/>
    <x v="1"/>
    <d v="2023-11-10T00:00:00"/>
    <x v="32"/>
    <n v="3.6"/>
    <n v="2024"/>
    <s v="Friday"/>
    <x v="0"/>
    <n v="4"/>
  </r>
  <r>
    <s v="Call_8177"/>
    <s v="C0010"/>
    <n v="89"/>
    <x v="3"/>
    <d v="2023-11-10T00:00:00"/>
    <x v="66"/>
    <n v="4.9000000000000004"/>
    <n v="2024"/>
    <s v="Friday"/>
    <x v="0"/>
    <n v="5"/>
  </r>
  <r>
    <s v="Call_8178"/>
    <s v="C0003"/>
    <n v="95"/>
    <x v="1"/>
    <d v="2023-11-10T00:00:00"/>
    <x v="21"/>
    <n v="3.9"/>
    <n v="2024"/>
    <s v="Friday"/>
    <x v="0"/>
    <n v="4"/>
  </r>
  <r>
    <s v="Call_8179"/>
    <s v="C0015"/>
    <n v="84"/>
    <x v="3"/>
    <d v="2023-11-11T00:00:00"/>
    <x v="2"/>
    <n v="4.7"/>
    <n v="2024"/>
    <s v="Saturday"/>
    <x v="0"/>
    <n v="5"/>
  </r>
  <r>
    <s v="Call_8180"/>
    <s v="C0002"/>
    <n v="89"/>
    <x v="0"/>
    <d v="2023-11-11T00:00:00"/>
    <x v="50"/>
    <n v="4.5"/>
    <n v="2024"/>
    <s v="Saturday"/>
    <x v="0"/>
    <n v="5"/>
  </r>
  <r>
    <s v="Call_8181"/>
    <s v="C0010"/>
    <n v="146"/>
    <x v="0"/>
    <d v="2023-11-12T00:00:00"/>
    <x v="96"/>
    <n v="4.5"/>
    <n v="2024"/>
    <s v="Sunday"/>
    <x v="1"/>
    <n v="5"/>
  </r>
  <r>
    <s v="Call_8182"/>
    <s v="C0013"/>
    <n v="62"/>
    <x v="4"/>
    <d v="2023-11-13T00:00:00"/>
    <x v="97"/>
    <n v="4.4000000000000004"/>
    <n v="2024"/>
    <s v="Monday"/>
    <x v="0"/>
    <n v="4"/>
  </r>
  <r>
    <s v="Call_8183"/>
    <s v="C0001"/>
    <n v="82"/>
    <x v="0"/>
    <d v="2023-11-13T00:00:00"/>
    <x v="60"/>
    <n v="4.0999999999999996"/>
    <n v="2024"/>
    <s v="Monday"/>
    <x v="0"/>
    <n v="4"/>
  </r>
  <r>
    <s v="Call_8184"/>
    <s v="C0009"/>
    <n v="91"/>
    <x v="2"/>
    <d v="2023-11-13T00:00:00"/>
    <x v="10"/>
    <n v="3.8"/>
    <n v="2024"/>
    <s v="Monday"/>
    <x v="0"/>
    <n v="4"/>
  </r>
  <r>
    <s v="Call_8185"/>
    <s v="C0002"/>
    <n v="39"/>
    <x v="0"/>
    <d v="2023-11-14T00:00:00"/>
    <x v="57"/>
    <n v="4.2"/>
    <n v="2024"/>
    <s v="Tuesday"/>
    <x v="2"/>
    <n v="4"/>
  </r>
  <r>
    <s v="Call_8186"/>
    <s v="C0010"/>
    <n v="149"/>
    <x v="1"/>
    <d v="2023-11-14T00:00:00"/>
    <x v="85"/>
    <n v="2.2000000000000002"/>
    <n v="2024"/>
    <s v="Tuesday"/>
    <x v="1"/>
    <n v="2"/>
  </r>
  <r>
    <s v="Call_8187"/>
    <s v="C0001"/>
    <n v="138"/>
    <x v="4"/>
    <d v="2023-11-14T00:00:00"/>
    <x v="7"/>
    <n v="3.9"/>
    <n v="2024"/>
    <s v="Tuesday"/>
    <x v="1"/>
    <n v="4"/>
  </r>
  <r>
    <s v="Call_8188"/>
    <s v="C0013"/>
    <n v="113"/>
    <x v="1"/>
    <d v="2023-11-15T00:00:00"/>
    <x v="52"/>
    <n v="3.9"/>
    <n v="2024"/>
    <s v="Wednesday"/>
    <x v="0"/>
    <n v="4"/>
  </r>
  <r>
    <s v="Call_8189"/>
    <s v="C0011"/>
    <n v="88"/>
    <x v="0"/>
    <d v="2023-11-15T00:00:00"/>
    <x v="96"/>
    <n v="4.0999999999999996"/>
    <n v="2024"/>
    <s v="Wednesday"/>
    <x v="0"/>
    <n v="4"/>
  </r>
  <r>
    <s v="Call_8190"/>
    <s v="C0003"/>
    <n v="64"/>
    <x v="4"/>
    <d v="2023-11-15T00:00:00"/>
    <x v="94"/>
    <n v="4.5999999999999996"/>
    <n v="2024"/>
    <s v="Wednesday"/>
    <x v="0"/>
    <n v="5"/>
  </r>
  <r>
    <s v="Call_8191"/>
    <s v="C0005"/>
    <n v="53"/>
    <x v="4"/>
    <d v="2023-11-16T00:00:00"/>
    <x v="64"/>
    <n v="4.0999999999999996"/>
    <n v="2024"/>
    <s v="Thursday"/>
    <x v="2"/>
    <n v="4"/>
  </r>
  <r>
    <s v="Call_8192"/>
    <s v="C0012"/>
    <n v="63"/>
    <x v="1"/>
    <d v="2023-11-16T00:00:00"/>
    <x v="85"/>
    <n v="5"/>
    <n v="2024"/>
    <s v="Thursday"/>
    <x v="0"/>
    <n v="5"/>
  </r>
  <r>
    <s v="Call_8193"/>
    <s v="C0007"/>
    <n v="54"/>
    <x v="1"/>
    <d v="2023-11-17T00:00:00"/>
    <x v="56"/>
    <n v="2.8"/>
    <n v="2024"/>
    <s v="Friday"/>
    <x v="2"/>
    <n v="3"/>
  </r>
  <r>
    <s v="Call_8194"/>
    <s v="C0012"/>
    <n v="54"/>
    <x v="0"/>
    <d v="2023-11-17T00:00:00"/>
    <x v="98"/>
    <n v="2.7"/>
    <n v="2024"/>
    <s v="Friday"/>
    <x v="2"/>
    <n v="3"/>
  </r>
  <r>
    <s v="Call_8195"/>
    <s v="C0010"/>
    <n v="71"/>
    <x v="4"/>
    <d v="2023-11-17T00:00:00"/>
    <x v="39"/>
    <n v="3.9"/>
    <n v="2024"/>
    <s v="Friday"/>
    <x v="0"/>
    <n v="4"/>
  </r>
  <r>
    <s v="Call_8196"/>
    <s v="C0012"/>
    <n v="93"/>
    <x v="0"/>
    <d v="2023-11-18T00:00:00"/>
    <x v="101"/>
    <n v="4.3"/>
    <n v="2024"/>
    <s v="Saturday"/>
    <x v="0"/>
    <n v="4"/>
  </r>
  <r>
    <s v="Call_8197"/>
    <s v="C0014"/>
    <n v="96"/>
    <x v="1"/>
    <d v="2023-11-18T00:00:00"/>
    <x v="46"/>
    <n v="2.5"/>
    <n v="2024"/>
    <s v="Saturday"/>
    <x v="0"/>
    <n v="3"/>
  </r>
  <r>
    <s v="Call_8198"/>
    <s v="C0002"/>
    <n v="31"/>
    <x v="2"/>
    <d v="2023-11-18T00:00:00"/>
    <x v="66"/>
    <n v="3.4"/>
    <n v="2024"/>
    <s v="Saturday"/>
    <x v="2"/>
    <n v="3"/>
  </r>
  <r>
    <s v="Call_8199"/>
    <s v="C0012"/>
    <n v="107"/>
    <x v="4"/>
    <d v="2023-11-18T00:00:00"/>
    <x v="50"/>
    <n v="3.4"/>
    <n v="2024"/>
    <s v="Saturday"/>
    <x v="0"/>
    <n v="3"/>
  </r>
  <r>
    <s v="Call_8200"/>
    <s v="C0005"/>
    <n v="50"/>
    <x v="2"/>
    <d v="2023-11-19T00:00:00"/>
    <x v="67"/>
    <n v="1.8"/>
    <n v="2024"/>
    <s v="Sunday"/>
    <x v="2"/>
    <n v="2"/>
  </r>
  <r>
    <s v="Call_8201"/>
    <s v="C0001"/>
    <n v="69"/>
    <x v="4"/>
    <d v="2023-11-20T00:00:00"/>
    <x v="94"/>
    <n v="3.7"/>
    <n v="2024"/>
    <s v="Monday"/>
    <x v="0"/>
    <n v="4"/>
  </r>
  <r>
    <s v="Call_8202"/>
    <s v="C0011"/>
    <n v="26"/>
    <x v="1"/>
    <d v="2023-11-21T00:00:00"/>
    <x v="61"/>
    <n v="4.0999999999999996"/>
    <n v="2024"/>
    <s v="Tuesday"/>
    <x v="3"/>
    <n v="4"/>
  </r>
  <r>
    <s v="Call_8203"/>
    <s v="C0014"/>
    <n v="158"/>
    <x v="4"/>
    <d v="2023-11-21T00:00:00"/>
    <x v="73"/>
    <n v="3"/>
    <n v="2024"/>
    <s v="Tuesday"/>
    <x v="1"/>
    <n v="3"/>
  </r>
  <r>
    <s v="Call_8204"/>
    <s v="C0007"/>
    <n v="99"/>
    <x v="4"/>
    <d v="2023-11-23T00:00:00"/>
    <x v="93"/>
    <n v="3.9"/>
    <n v="2024"/>
    <s v="Thursday"/>
    <x v="0"/>
    <n v="4"/>
  </r>
  <r>
    <s v="Call_8205"/>
    <s v="C0014"/>
    <n v="78"/>
    <x v="2"/>
    <d v="2023-11-23T00:00:00"/>
    <x v="21"/>
    <n v="4"/>
    <n v="2024"/>
    <s v="Thursday"/>
    <x v="0"/>
    <n v="4"/>
  </r>
  <r>
    <s v="Call_8206"/>
    <s v="C0014"/>
    <n v="102"/>
    <x v="1"/>
    <d v="2023-11-24T00:00:00"/>
    <x v="72"/>
    <n v="4.5"/>
    <n v="2024"/>
    <s v="Friday"/>
    <x v="0"/>
    <n v="5"/>
  </r>
  <r>
    <s v="Call_8207"/>
    <s v="C0007"/>
    <n v="158"/>
    <x v="3"/>
    <d v="2023-11-24T00:00:00"/>
    <x v="6"/>
    <n v="4"/>
    <n v="2024"/>
    <s v="Friday"/>
    <x v="1"/>
    <n v="4"/>
  </r>
  <r>
    <s v="Call_8208"/>
    <s v="C0002"/>
    <n v="56"/>
    <x v="4"/>
    <d v="2023-11-24T00:00:00"/>
    <x v="49"/>
    <n v="4.3"/>
    <n v="2024"/>
    <s v="Friday"/>
    <x v="2"/>
    <n v="4"/>
  </r>
  <r>
    <s v="Call_8209"/>
    <s v="C0004"/>
    <n v="17"/>
    <x v="0"/>
    <d v="2023-11-24T00:00:00"/>
    <x v="80"/>
    <n v="4.8"/>
    <n v="2024"/>
    <s v="Friday"/>
    <x v="3"/>
    <n v="5"/>
  </r>
  <r>
    <s v="Call_8210"/>
    <s v="C0011"/>
    <n v="104"/>
    <x v="3"/>
    <d v="2023-11-26T00:00:00"/>
    <x v="102"/>
    <n v="4.7"/>
    <n v="2024"/>
    <s v="Sunday"/>
    <x v="0"/>
    <n v="5"/>
  </r>
  <r>
    <s v="Call_8211"/>
    <s v="C0015"/>
    <n v="96"/>
    <x v="2"/>
    <d v="2023-11-26T00:00:00"/>
    <x v="40"/>
    <n v="5"/>
    <n v="2024"/>
    <s v="Sunday"/>
    <x v="0"/>
    <n v="5"/>
  </r>
  <r>
    <s v="Call_8212"/>
    <s v="C0009"/>
    <n v="83"/>
    <x v="1"/>
    <d v="2023-11-27T00:00:00"/>
    <x v="41"/>
    <n v="1.5"/>
    <n v="2024"/>
    <s v="Monday"/>
    <x v="0"/>
    <n v="2"/>
  </r>
  <r>
    <s v="Call_8213"/>
    <s v="C0005"/>
    <n v="80"/>
    <x v="0"/>
    <d v="2023-11-28T00:00:00"/>
    <x v="6"/>
    <n v="4.0999999999999996"/>
    <n v="2024"/>
    <s v="Tuesday"/>
    <x v="0"/>
    <n v="4"/>
  </r>
  <r>
    <s v="Call_8214"/>
    <s v="C0009"/>
    <n v="152"/>
    <x v="1"/>
    <d v="2023-11-28T00:00:00"/>
    <x v="29"/>
    <n v="3.9"/>
    <n v="2024"/>
    <s v="Tuesday"/>
    <x v="1"/>
    <n v="4"/>
  </r>
  <r>
    <s v="Call_8215"/>
    <s v="C0010"/>
    <n v="34"/>
    <x v="2"/>
    <d v="2023-11-28T00:00:00"/>
    <x v="78"/>
    <n v="4.0999999999999996"/>
    <n v="2024"/>
    <s v="Tuesday"/>
    <x v="2"/>
    <n v="4"/>
  </r>
  <r>
    <s v="Call_8216"/>
    <s v="C0013"/>
    <n v="2"/>
    <x v="4"/>
    <d v="2023-11-29T00:00:00"/>
    <x v="53"/>
    <n v="2.8"/>
    <n v="2024"/>
    <s v="Wednesday"/>
    <x v="4"/>
    <n v="3"/>
  </r>
  <r>
    <s v="Call_8217"/>
    <s v="C0005"/>
    <n v="140"/>
    <x v="2"/>
    <d v="2023-11-30T00:00:00"/>
    <x v="44"/>
    <n v="4.5999999999999996"/>
    <n v="2024"/>
    <s v="Thursday"/>
    <x v="1"/>
    <n v="5"/>
  </r>
  <r>
    <s v="Call_8218"/>
    <s v="C0004"/>
    <n v="126"/>
    <x v="3"/>
    <d v="2023-12-01T00:00:00"/>
    <x v="105"/>
    <n v="4.8"/>
    <n v="2024"/>
    <s v="Friday"/>
    <x v="1"/>
    <n v="5"/>
  </r>
  <r>
    <s v="Call_8219"/>
    <s v="C0014"/>
    <n v="79"/>
    <x v="4"/>
    <d v="2023-12-01T00:00:00"/>
    <x v="99"/>
    <n v="2.2999999999999998"/>
    <n v="2024"/>
    <s v="Friday"/>
    <x v="0"/>
    <n v="2"/>
  </r>
  <r>
    <s v="Call_8220"/>
    <s v="C0004"/>
    <n v="133"/>
    <x v="3"/>
    <d v="2023-12-01T00:00:00"/>
    <x v="82"/>
    <n v="2.6"/>
    <n v="2024"/>
    <s v="Friday"/>
    <x v="1"/>
    <n v="3"/>
  </r>
  <r>
    <s v="Call_8221"/>
    <s v="C0010"/>
    <n v="97"/>
    <x v="0"/>
    <d v="2023-12-01T00:00:00"/>
    <x v="74"/>
    <n v="4.8"/>
    <n v="2024"/>
    <s v="Friday"/>
    <x v="0"/>
    <n v="5"/>
  </r>
  <r>
    <s v="Call_8222"/>
    <s v="C0014"/>
    <n v="102"/>
    <x v="1"/>
    <d v="2023-12-02T00:00:00"/>
    <x v="18"/>
    <n v="3.7"/>
    <n v="2024"/>
    <s v="Saturday"/>
    <x v="0"/>
    <n v="4"/>
  </r>
  <r>
    <s v="Call_8223"/>
    <s v="C0006"/>
    <n v="62"/>
    <x v="0"/>
    <d v="2023-12-02T00:00:00"/>
    <x v="49"/>
    <n v="4.2"/>
    <n v="2024"/>
    <s v="Saturday"/>
    <x v="0"/>
    <n v="4"/>
  </r>
  <r>
    <s v="Call_8224"/>
    <s v="C0004"/>
    <n v="149"/>
    <x v="1"/>
    <d v="2023-12-03T00:00:00"/>
    <x v="28"/>
    <n v="3.3"/>
    <n v="2024"/>
    <s v="Sunday"/>
    <x v="1"/>
    <n v="3"/>
  </r>
  <r>
    <s v="Call_8225"/>
    <s v="C0013"/>
    <n v="133"/>
    <x v="0"/>
    <d v="2023-12-03T00:00:00"/>
    <x v="11"/>
    <n v="4.3"/>
    <n v="2024"/>
    <s v="Sunday"/>
    <x v="1"/>
    <n v="4"/>
  </r>
  <r>
    <s v="Call_8226"/>
    <s v="C0014"/>
    <n v="51"/>
    <x v="4"/>
    <d v="2023-12-03T00:00:00"/>
    <x v="39"/>
    <n v="3.7"/>
    <n v="2024"/>
    <s v="Sunday"/>
    <x v="2"/>
    <n v="4"/>
  </r>
  <r>
    <s v="Call_8227"/>
    <s v="C0006"/>
    <n v="110"/>
    <x v="0"/>
    <d v="2023-12-04T00:00:00"/>
    <x v="18"/>
    <n v="3.7"/>
    <n v="2024"/>
    <s v="Monday"/>
    <x v="0"/>
    <n v="4"/>
  </r>
  <r>
    <s v="Call_8228"/>
    <s v="C0010"/>
    <n v="38"/>
    <x v="3"/>
    <d v="2023-12-05T00:00:00"/>
    <x v="79"/>
    <n v="3.1"/>
    <n v="2024"/>
    <s v="Tuesday"/>
    <x v="2"/>
    <n v="3"/>
  </r>
  <r>
    <s v="Call_8229"/>
    <s v="C0013"/>
    <n v="78"/>
    <x v="3"/>
    <d v="2023-12-07T00:00:00"/>
    <x v="70"/>
    <n v="2.4"/>
    <n v="2024"/>
    <s v="Thursday"/>
    <x v="0"/>
    <n v="2"/>
  </r>
  <r>
    <s v="Call_8230"/>
    <s v="C0010"/>
    <n v="25"/>
    <x v="1"/>
    <d v="2023-12-08T00:00:00"/>
    <x v="76"/>
    <n v="3.5"/>
    <n v="2024"/>
    <s v="Friday"/>
    <x v="3"/>
    <n v="4"/>
  </r>
  <r>
    <s v="Call_8231"/>
    <s v="C0012"/>
    <n v="50"/>
    <x v="4"/>
    <d v="2023-12-08T00:00:00"/>
    <x v="48"/>
    <n v="4.3"/>
    <n v="2024"/>
    <s v="Friday"/>
    <x v="2"/>
    <n v="4"/>
  </r>
  <r>
    <s v="Call_8232"/>
    <s v="C0010"/>
    <n v="103"/>
    <x v="1"/>
    <d v="2023-12-09T00:00:00"/>
    <x v="18"/>
    <n v="3.4"/>
    <n v="2024"/>
    <s v="Saturday"/>
    <x v="0"/>
    <n v="3"/>
  </r>
  <r>
    <s v="Call_8233"/>
    <s v="C0009"/>
    <n v="63"/>
    <x v="2"/>
    <d v="2023-12-09T00:00:00"/>
    <x v="95"/>
    <n v="3.7"/>
    <n v="2024"/>
    <s v="Saturday"/>
    <x v="0"/>
    <n v="4"/>
  </r>
  <r>
    <s v="Call_8234"/>
    <s v="C0012"/>
    <n v="96"/>
    <x v="4"/>
    <d v="2023-12-13T00:00:00"/>
    <x v="84"/>
    <n v="4.8"/>
    <n v="2024"/>
    <s v="Wednesday"/>
    <x v="0"/>
    <n v="5"/>
  </r>
  <r>
    <s v="Call_8235"/>
    <s v="C0005"/>
    <n v="94"/>
    <x v="1"/>
    <d v="2023-12-13T00:00:00"/>
    <x v="38"/>
    <n v="3.3"/>
    <n v="2024"/>
    <s v="Wednesday"/>
    <x v="0"/>
    <n v="3"/>
  </r>
  <r>
    <s v="Call_8236"/>
    <s v="C0006"/>
    <n v="46"/>
    <x v="3"/>
    <d v="2023-12-14T00:00:00"/>
    <x v="1"/>
    <n v="4.2"/>
    <n v="2024"/>
    <s v="Thursday"/>
    <x v="2"/>
    <n v="4"/>
  </r>
  <r>
    <s v="Call_8237"/>
    <s v="C0008"/>
    <n v="127"/>
    <x v="4"/>
    <d v="2023-12-15T00:00:00"/>
    <x v="98"/>
    <n v="2.6"/>
    <n v="2024"/>
    <s v="Friday"/>
    <x v="1"/>
    <n v="3"/>
  </r>
  <r>
    <s v="Call_8238"/>
    <s v="C0007"/>
    <n v="96"/>
    <x v="3"/>
    <d v="2023-12-15T00:00:00"/>
    <x v="99"/>
    <n v="4.9000000000000004"/>
    <n v="2024"/>
    <s v="Friday"/>
    <x v="0"/>
    <n v="5"/>
  </r>
  <r>
    <s v="Call_8239"/>
    <s v="C0001"/>
    <n v="151"/>
    <x v="1"/>
    <d v="2023-12-15T00:00:00"/>
    <x v="83"/>
    <n v="2"/>
    <n v="2024"/>
    <s v="Friday"/>
    <x v="1"/>
    <n v="2"/>
  </r>
  <r>
    <s v="Call_8240"/>
    <s v="C0008"/>
    <n v="158"/>
    <x v="0"/>
    <d v="2023-12-16T00:00:00"/>
    <x v="73"/>
    <n v="4.7"/>
    <n v="2024"/>
    <s v="Saturday"/>
    <x v="1"/>
    <n v="5"/>
  </r>
  <r>
    <s v="Call_8241"/>
    <s v="C0005"/>
    <n v="45"/>
    <x v="0"/>
    <d v="2023-12-16T00:00:00"/>
    <x v="59"/>
    <n v="2.8"/>
    <n v="2024"/>
    <s v="Saturday"/>
    <x v="2"/>
    <n v="3"/>
  </r>
  <r>
    <s v="Call_8242"/>
    <s v="C0002"/>
    <n v="141"/>
    <x v="0"/>
    <d v="2023-12-16T00:00:00"/>
    <x v="2"/>
    <n v="3.2"/>
    <n v="2024"/>
    <s v="Saturday"/>
    <x v="1"/>
    <n v="3"/>
  </r>
  <r>
    <s v="Call_8243"/>
    <s v="C0010"/>
    <n v="147"/>
    <x v="3"/>
    <d v="2023-12-16T00:00:00"/>
    <x v="103"/>
    <n v="4.7"/>
    <n v="2024"/>
    <s v="Saturday"/>
    <x v="1"/>
    <n v="5"/>
  </r>
  <r>
    <s v="Call_8244"/>
    <s v="C0015"/>
    <n v="126"/>
    <x v="3"/>
    <d v="2023-12-16T00:00:00"/>
    <x v="101"/>
    <n v="4.8"/>
    <n v="2024"/>
    <s v="Saturday"/>
    <x v="1"/>
    <n v="5"/>
  </r>
  <r>
    <s v="Call_8245"/>
    <s v="C0005"/>
    <n v="126"/>
    <x v="2"/>
    <d v="2023-12-17T00:00:00"/>
    <x v="24"/>
    <n v="4.7"/>
    <n v="2024"/>
    <s v="Sunday"/>
    <x v="1"/>
    <n v="5"/>
  </r>
  <r>
    <s v="Call_8246"/>
    <s v="C0013"/>
    <n v="32"/>
    <x v="3"/>
    <d v="2023-12-17T00:00:00"/>
    <x v="6"/>
    <n v="4"/>
    <n v="2024"/>
    <s v="Sunday"/>
    <x v="2"/>
    <n v="4"/>
  </r>
  <r>
    <s v="Call_8247"/>
    <s v="C0005"/>
    <n v="84"/>
    <x v="4"/>
    <d v="2023-12-19T00:00:00"/>
    <x v="67"/>
    <n v="4.9000000000000004"/>
    <n v="2024"/>
    <s v="Tuesday"/>
    <x v="0"/>
    <n v="5"/>
  </r>
  <r>
    <s v="Call_8248"/>
    <s v="C0009"/>
    <n v="120"/>
    <x v="2"/>
    <d v="2023-12-20T00:00:00"/>
    <x v="104"/>
    <n v="3.7"/>
    <n v="2024"/>
    <s v="Wednesday"/>
    <x v="0"/>
    <n v="4"/>
  </r>
  <r>
    <s v="Call_8249"/>
    <s v="C0011"/>
    <n v="93"/>
    <x v="3"/>
    <d v="2023-12-20T00:00:00"/>
    <x v="100"/>
    <n v="4.5"/>
    <n v="2024"/>
    <s v="Wednesday"/>
    <x v="0"/>
    <n v="5"/>
  </r>
  <r>
    <s v="Call_8250"/>
    <s v="C0007"/>
    <n v="76"/>
    <x v="1"/>
    <d v="2023-12-21T00:00:00"/>
    <x v="95"/>
    <n v="2.1"/>
    <n v="2024"/>
    <s v="Thursday"/>
    <x v="0"/>
    <n v="2"/>
  </r>
  <r>
    <s v="Call_8251"/>
    <s v="C0008"/>
    <n v="89"/>
    <x v="3"/>
    <d v="2023-12-24T00:00:00"/>
    <x v="66"/>
    <n v="2.8"/>
    <n v="2024"/>
    <s v="Sunday"/>
    <x v="0"/>
    <n v="3"/>
  </r>
  <r>
    <s v="Call_8252"/>
    <s v="C0014"/>
    <n v="91"/>
    <x v="4"/>
    <d v="2023-12-24T00:00:00"/>
    <x v="28"/>
    <n v="4.0999999999999996"/>
    <n v="2024"/>
    <s v="Sunday"/>
    <x v="0"/>
    <n v="4"/>
  </r>
  <r>
    <s v="Call_8253"/>
    <s v="C0006"/>
    <n v="7"/>
    <x v="0"/>
    <d v="2023-12-25T00:00:00"/>
    <x v="39"/>
    <n v="3.3"/>
    <n v="2024"/>
    <s v="Monday"/>
    <x v="4"/>
    <n v="3"/>
  </r>
  <r>
    <s v="Call_8254"/>
    <s v="C0013"/>
    <n v="140"/>
    <x v="0"/>
    <d v="2023-12-25T00:00:00"/>
    <x v="7"/>
    <n v="1.7"/>
    <n v="2024"/>
    <s v="Monday"/>
    <x v="1"/>
    <n v="2"/>
  </r>
  <r>
    <s v="Call_8255"/>
    <s v="C0004"/>
    <n v="58"/>
    <x v="2"/>
    <d v="2023-12-25T00:00:00"/>
    <x v="78"/>
    <n v="3.6"/>
    <n v="2024"/>
    <s v="Monday"/>
    <x v="2"/>
    <n v="4"/>
  </r>
  <r>
    <s v="Call_8256"/>
    <s v="C0003"/>
    <n v="90"/>
    <x v="1"/>
    <d v="2023-12-26T00:00:00"/>
    <x v="92"/>
    <n v="3.6"/>
    <n v="2024"/>
    <s v="Tuesday"/>
    <x v="0"/>
    <n v="4"/>
  </r>
  <r>
    <s v="Call_8257"/>
    <s v="C0003"/>
    <n v="106"/>
    <x v="3"/>
    <d v="2023-12-27T00:00:00"/>
    <x v="9"/>
    <n v="4.5999999999999996"/>
    <n v="2024"/>
    <s v="Wednesday"/>
    <x v="0"/>
    <n v="5"/>
  </r>
  <r>
    <s v="Call_8258"/>
    <s v="C0009"/>
    <n v="72"/>
    <x v="0"/>
    <d v="2023-12-27T00:00:00"/>
    <x v="84"/>
    <n v="4.8"/>
    <n v="2024"/>
    <s v="Wednesday"/>
    <x v="0"/>
    <n v="5"/>
  </r>
  <r>
    <s v="Call_8259"/>
    <s v="C0006"/>
    <n v="124"/>
    <x v="0"/>
    <d v="2023-12-28T00:00:00"/>
    <x v="39"/>
    <n v="4.5"/>
    <n v="2024"/>
    <s v="Thursday"/>
    <x v="1"/>
    <n v="5"/>
  </r>
  <r>
    <s v="Call_8260"/>
    <s v="C0002"/>
    <n v="86"/>
    <x v="4"/>
    <d v="2023-12-28T00:00:00"/>
    <x v="49"/>
    <n v="4.5"/>
    <n v="2024"/>
    <s v="Thursday"/>
    <x v="0"/>
    <n v="5"/>
  </r>
  <r>
    <s v="Call_8261"/>
    <s v="C0005"/>
    <n v="164"/>
    <x v="4"/>
    <d v="2023-12-29T00:00:00"/>
    <x v="62"/>
    <n v="4.5999999999999996"/>
    <n v="2024"/>
    <s v="Friday"/>
    <x v="1"/>
    <n v="5"/>
  </r>
  <r>
    <s v="Call_8262"/>
    <s v="C0011"/>
    <n v="40"/>
    <x v="1"/>
    <d v="2023-12-29T00:00:00"/>
    <x v="22"/>
    <n v="4.5999999999999996"/>
    <n v="2024"/>
    <s v="Friday"/>
    <x v="2"/>
    <n v="5"/>
  </r>
  <r>
    <s v="Call_8263"/>
    <s v="C0014"/>
    <n v="76"/>
    <x v="2"/>
    <d v="2023-12-29T00:00:00"/>
    <x v="24"/>
    <n v="3.5"/>
    <n v="2024"/>
    <s v="Friday"/>
    <x v="0"/>
    <n v="4"/>
  </r>
  <r>
    <s v="Call_8264"/>
    <s v="C0006"/>
    <n v="95"/>
    <x v="3"/>
    <d v="2023-12-29T00:00:00"/>
    <x v="25"/>
    <n v="2.9"/>
    <n v="2024"/>
    <s v="Friday"/>
    <x v="0"/>
    <n v="3"/>
  </r>
  <r>
    <s v="Call_8265"/>
    <s v="C0014"/>
    <n v="113"/>
    <x v="0"/>
    <d v="2023-12-30T00:00:00"/>
    <x v="20"/>
    <n v="4.7"/>
    <n v="2024"/>
    <s v="Saturday"/>
    <x v="0"/>
    <n v="5"/>
  </r>
  <r>
    <s v="Call_8266"/>
    <s v="C0002"/>
    <n v="81"/>
    <x v="0"/>
    <d v="2023-12-30T00:00:00"/>
    <x v="15"/>
    <n v="3.9"/>
    <n v="2024"/>
    <s v="Saturday"/>
    <x v="0"/>
    <n v="4"/>
  </r>
  <r>
    <s v="Call_8267"/>
    <s v="C0007"/>
    <n v="127"/>
    <x v="3"/>
    <d v="2023-12-30T00:00:00"/>
    <x v="46"/>
    <n v="3.8"/>
    <n v="2024"/>
    <s v="Saturday"/>
    <x v="1"/>
    <n v="4"/>
  </r>
  <r>
    <s v="Call_8268"/>
    <s v="C0013"/>
    <n v="146"/>
    <x v="0"/>
    <d v="2023-12-31T00:00:00"/>
    <x v="99"/>
    <n v="2.2999999999999998"/>
    <n v="2024"/>
    <s v="Sunday"/>
    <x v="1"/>
    <n v="2"/>
  </r>
  <r>
    <s v="Call_8269"/>
    <s v="C0010"/>
    <n v="123"/>
    <x v="0"/>
    <d v="2023-12-31T00:00:00"/>
    <x v="39"/>
    <n v="3.7"/>
    <n v="2024"/>
    <s v="Sunday"/>
    <x v="1"/>
    <n v="4"/>
  </r>
  <r>
    <s v="Call_8270"/>
    <s v="C0009"/>
    <n v="114"/>
    <x v="2"/>
    <d v="2023-12-31T00:00:00"/>
    <x v="45"/>
    <n v="3.9"/>
    <n v="2024"/>
    <s v="Sunday"/>
    <x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8788CA-31E2-4DB1-BAF1-277877649C86}"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3:C9" firstHeaderRow="0" firstDataRow="1" firstDataCol="1"/>
  <pivotFields count="3">
    <pivotField axis="axisRow" allDrilled="1" showAll="0" dataSourceSort="1" defaultAttributeDrillState="1">
      <items count="6">
        <item x="0"/>
        <item x="1"/>
        <item x="2"/>
        <item x="3"/>
        <item x="4"/>
        <item t="default"/>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67D0D4-0A97-4FFD-85AB-D63BF36B19E4}" name="selected rep" cacheId="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D76:D7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2">
      <pivotArea dataOnly="0" labelOnly="1" fieldPosition="0">
        <references count="1">
          <reference field="0" count="0"/>
        </references>
      </pivotArea>
    </format>
    <format dxfId="1">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8A24FE-5A52-4789-A798-DB379803A124}" name="rep pivort"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4:F1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D188C7-EB17-4C2B-9A83-992CF6EA90AF}" name="reps pivo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D52:F58" firstHeaderRow="0" firstDataRow="1" firstDataCol="1"/>
  <pivotFields count="3">
    <pivotField axis="axisRow" allDrilled="1" showAll="0" dataSourceSort="1" defaultAttributeDrillState="1">
      <items count="6">
        <item x="0"/>
        <item x="1"/>
        <item x="2"/>
        <item x="3"/>
        <item x="4"/>
        <item t="default"/>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837F1A-36A4-4435-A356-4C9029A72504}" name="piv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69" firstHeaderRow="1" firstDataRow="1" firstDataCol="0"/>
  <pivotFields count="11">
    <pivotField showAll="0"/>
    <pivotField showAll="0"/>
    <pivotField showAll="0"/>
    <pivotField showAll="0">
      <items count="6">
        <item x="2"/>
        <item x="1"/>
        <item x="4"/>
        <item x="3"/>
        <item x="0"/>
        <item t="default"/>
      </items>
    </pivotField>
    <pivotField numFmtId="164"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3EDD01-0833-4D4A-BBFC-0EA0054EEB3B}" name="rep amount" cacheId="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0">
  <location ref="A112:G131"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BE4ABA-6E26-437F-86DF-08935BF89B50}" name="rep satisfaction"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98:B105"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2EC9D9-34F4-45E4-9D98-5A77D32332A9}" name="week day trend"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S27:T35" firstHeaderRow="1" firstDataRow="1" firstDataCol="1"/>
  <pivotFields count="3">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8">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2"/>
          </reference>
        </references>
      </pivotArea>
    </chartFormat>
    <chartFormat chart="10" format="4">
      <pivotArea type="data" outline="0" fieldPosition="0">
        <references count="2">
          <reference field="4294967294" count="1" selected="0">
            <x v="0"/>
          </reference>
          <reference field="0" count="1" selected="0">
            <x v="0"/>
          </reference>
        </references>
      </pivotArea>
    </chartFormat>
    <chartFormat chart="10" format="5">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2">
          <reference field="4294967294" count="1" selected="0">
            <x v="0"/>
          </reference>
          <reference field="0" count="1" selected="0">
            <x v="3"/>
          </reference>
        </references>
      </pivotArea>
    </chartFormat>
    <chartFormat chart="10" format="7">
      <pivotArea type="data" outline="0" fieldPosition="0">
        <references count="2">
          <reference field="4294967294" count="1" selected="0">
            <x v="0"/>
          </reference>
          <reference field="0" count="1" selected="0">
            <x v="4"/>
          </reference>
        </references>
      </pivotArea>
    </chartFormat>
    <chartFormat chart="10" format="8">
      <pivotArea type="data" outline="0" fieldPosition="0">
        <references count="2">
          <reference field="4294967294" count="1" selected="0">
            <x v="0"/>
          </reference>
          <reference field="0" count="1" selected="0">
            <x v="5"/>
          </reference>
        </references>
      </pivotArea>
    </chartFormat>
    <chartFormat chart="10" format="9">
      <pivotArea type="data" outline="0" fieldPosition="0">
        <references count="2">
          <reference field="4294967294" count="1" selected="0">
            <x v="0"/>
          </reference>
          <reference field="0" count="1" selected="0">
            <x v="6"/>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4633BA-9A09-451C-A0B8-8A6425A95B9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4:D8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0D07B9-A337-40FE-B1E3-51F90C614AEE}" name="monthly trend"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B24:D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47DCFF-3A33-4DC2-9BC9-A31FE4689AAA}" name="summery pivot table"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D4D51AB-BA61-4A79-8B70-6C305B2E26AF}"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0DD1A1D-76EA-4D27-A175-CBB4E6B7C2EE}" sourceName="[calls].[Representative]">
  <pivotTables>
    <pivotTable tabId="6" name="rep pivort"/>
    <pivotTable tabId="6" name="monthly trend"/>
    <pivotTable tabId="6" name="week day trend"/>
    <pivotTable tabId="6" name="selected rep"/>
    <pivotTable tabId="6" name="rep satisfaction"/>
  </pivotTables>
  <data>
    <olap pivotCacheId="88099384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CA88743F-3734-4C94-98DC-B740897ABDDC}" cache="Slicer_Representative" caption="Representative" level="1" style="SlicerStyleLight5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387852-AB0A-4AB0-9402-68ACBC09CEB8}" name="Table_ExternalData_1" displayName="Table_ExternalData_1" ref="A3:M49" tableType="queryTable" totalsRowShown="0">
  <autoFilter ref="A3:M49" xr:uid="{EF387852-AB0A-4AB0-9402-68ACBC09CEB8}"/>
  <tableColumns count="13">
    <tableColumn id="1" xr3:uid="{49C2D65A-BBF7-49E5-8747-47E5DC3EB968}" uniqueName="1" name="calls[Call number]" queryTableFieldId="1"/>
    <tableColumn id="2" xr3:uid="{B64FAD1B-B3AC-4622-9319-83C139F33EFF}" uniqueName="2" name="calls[Customer ID]" queryTableFieldId="2"/>
    <tableColumn id="3" xr3:uid="{CD54965C-5A9A-48A7-92BC-1A496AF966E0}" uniqueName="3" name="calls[Duration]" queryTableFieldId="3"/>
    <tableColumn id="4" xr3:uid="{56FC49E7-788B-4B81-9661-E3960B78AC02}" uniqueName="4" name="calls[Representative]" queryTableFieldId="4"/>
    <tableColumn id="5" xr3:uid="{F5565B60-8F34-43C5-ADB9-CBB7514E608F}" uniqueName="5" name="calls[Date of Call]" queryTableFieldId="5" dataDxfId="17"/>
    <tableColumn id="6" xr3:uid="{1BF4BD22-3AFC-45DE-822F-317A05E4D936}" uniqueName="6" name="calls[Purchase Amount]" queryTableFieldId="6"/>
    <tableColumn id="7" xr3:uid="{C451BC0E-44FA-4203-96F0-41D6923851C0}" uniqueName="7" name="calls[Satisfaction Rating]" queryTableFieldId="7"/>
    <tableColumn id="8" xr3:uid="{6B50F9EE-878A-4CD6-9DC4-27E392074E8E}" uniqueName="8" name="calls[FY]" queryTableFieldId="8"/>
    <tableColumn id="9" xr3:uid="{E609C533-A90B-4E8C-8FA1-2945338ECC30}" uniqueName="9" name="calls[Day of week]" queryTableFieldId="9"/>
    <tableColumn id="10" xr3:uid="{5DE4BC13-FAB1-4621-8BF4-FCF0091F3378}" uniqueName="10" name="calls[Duration Bucket]" queryTableFieldId="10"/>
    <tableColumn id="11" xr3:uid="{5EAD809E-5423-4281-AFDA-4B6870AD974A}" uniqueName="11" name="calls[Rating rounded]" queryTableFieldId="11"/>
    <tableColumn id="12" xr3:uid="{BBD354C6-DA94-4197-894F-9E5C3A38C19F}" uniqueName="12" name="calls[Date of Call (Month)]" queryTableFieldId="12"/>
    <tableColumn id="13" xr3:uid="{DE05912A-670E-4102-8A40-55E43984107F}"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dner" dataDxfId="5"/>
    <tableColumn id="3" xr3:uid="{B0D41C62-587E-494D-B49A-603F2C05F8D3}" name="Age" dataDxfId="4"/>
    <tableColumn id="4" xr3:uid="{663F92D6-FE31-4D81-9E01-8D066DDC8A88}" name="City"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rinterSettings" Target="../printerSettings/printerSettings1.bin"/><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64804-AD80-41BF-BCF7-2386CC07CB49}">
  <dimension ref="A3:C9"/>
  <sheetViews>
    <sheetView workbookViewId="0">
      <selection activeCell="A6" sqref="A6"/>
    </sheetView>
  </sheetViews>
  <sheetFormatPr baseColWidth="10" defaultColWidth="8.83203125" defaultRowHeight="15" x14ac:dyDescent="0.2"/>
  <cols>
    <col min="1" max="1" width="13.5" bestFit="1" customWidth="1"/>
    <col min="2" max="2" width="9.83203125" bestFit="1" customWidth="1"/>
    <col min="3" max="3" width="12.5" bestFit="1" customWidth="1"/>
  </cols>
  <sheetData>
    <row r="3" spans="1:3" x14ac:dyDescent="0.2">
      <c r="A3" s="24" t="s">
        <v>1052</v>
      </c>
      <c r="B3" t="s">
        <v>1047</v>
      </c>
      <c r="C3" t="s">
        <v>1048</v>
      </c>
    </row>
    <row r="4" spans="1:3" x14ac:dyDescent="0.2">
      <c r="A4" s="34" t="s">
        <v>11</v>
      </c>
      <c r="B4" s="21">
        <v>189</v>
      </c>
      <c r="C4" s="23">
        <v>18415</v>
      </c>
    </row>
    <row r="5" spans="1:3" x14ac:dyDescent="0.2">
      <c r="A5" s="34" t="s">
        <v>9</v>
      </c>
      <c r="B5" s="21">
        <v>218</v>
      </c>
      <c r="C5" s="23">
        <v>20581</v>
      </c>
    </row>
    <row r="6" spans="1:3" x14ac:dyDescent="0.2">
      <c r="A6" s="34" t="s">
        <v>6</v>
      </c>
      <c r="B6" s="21">
        <v>207</v>
      </c>
      <c r="C6" s="23">
        <v>20872</v>
      </c>
    </row>
    <row r="7" spans="1:3" x14ac:dyDescent="0.2">
      <c r="A7" s="34" t="s">
        <v>13</v>
      </c>
      <c r="B7" s="21">
        <v>186</v>
      </c>
      <c r="C7" s="23">
        <v>16651</v>
      </c>
    </row>
    <row r="8" spans="1:3" x14ac:dyDescent="0.2">
      <c r="A8" s="34" t="s">
        <v>10</v>
      </c>
      <c r="B8" s="21">
        <v>200</v>
      </c>
      <c r="C8" s="23">
        <v>20104</v>
      </c>
    </row>
    <row r="9" spans="1:3" x14ac:dyDescent="0.2">
      <c r="A9" s="34" t="s">
        <v>1053</v>
      </c>
      <c r="B9" s="21">
        <v>1000</v>
      </c>
      <c r="C9" s="23">
        <v>96623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FCCAC-9D11-4750-B3CB-BDB1D883FD9B}">
  <dimension ref="A1:M49"/>
  <sheetViews>
    <sheetView workbookViewId="0"/>
  </sheetViews>
  <sheetFormatPr baseColWidth="10" defaultColWidth="8.83203125" defaultRowHeight="15" x14ac:dyDescent="0.2"/>
  <cols>
    <col min="1" max="1" width="20.33203125" bestFit="1" customWidth="1"/>
    <col min="2" max="2" width="20.5" bestFit="1" customWidth="1"/>
    <col min="3" max="3" width="16.83203125" bestFit="1" customWidth="1"/>
    <col min="4" max="4" width="22.83203125" bestFit="1" customWidth="1"/>
    <col min="5" max="5" width="19.83203125" bestFit="1" customWidth="1"/>
    <col min="6" max="6" width="25.1640625" bestFit="1" customWidth="1"/>
    <col min="7" max="7" width="26.1640625" bestFit="1" customWidth="1"/>
    <col min="8" max="8" width="11.1640625" bestFit="1" customWidth="1"/>
    <col min="9" max="9" width="20.1640625" bestFit="1" customWidth="1"/>
    <col min="10" max="10" width="23.83203125" bestFit="1" customWidth="1"/>
    <col min="11" max="11" width="22.83203125" bestFit="1" customWidth="1"/>
    <col min="12" max="12" width="27.1640625" bestFit="1" customWidth="1"/>
    <col min="13" max="13" width="32.83203125" bestFit="1" customWidth="1"/>
  </cols>
  <sheetData>
    <row r="1" spans="1:13" x14ac:dyDescent="0.2">
      <c r="A1" s="14" t="s">
        <v>1100</v>
      </c>
    </row>
    <row r="3" spans="1:13" x14ac:dyDescent="0.2">
      <c r="A3" t="s">
        <v>1082</v>
      </c>
      <c r="B3" t="s">
        <v>1083</v>
      </c>
      <c r="C3" t="s">
        <v>1084</v>
      </c>
      <c r="D3" t="s">
        <v>1085</v>
      </c>
      <c r="E3" t="s">
        <v>1086</v>
      </c>
      <c r="F3" t="s">
        <v>1087</v>
      </c>
      <c r="G3" t="s">
        <v>1088</v>
      </c>
      <c r="H3" t="s">
        <v>1089</v>
      </c>
      <c r="I3" t="s">
        <v>1090</v>
      </c>
      <c r="J3" t="s">
        <v>1091</v>
      </c>
      <c r="K3" t="s">
        <v>1092</v>
      </c>
      <c r="L3" t="s">
        <v>1093</v>
      </c>
      <c r="M3" t="s">
        <v>1094</v>
      </c>
    </row>
    <row r="4" spans="1:13" x14ac:dyDescent="0.2">
      <c r="A4" t="s">
        <v>35</v>
      </c>
      <c r="B4" t="s">
        <v>18</v>
      </c>
      <c r="C4">
        <v>44</v>
      </c>
      <c r="D4" t="s">
        <v>6</v>
      </c>
      <c r="E4" s="37">
        <v>44929</v>
      </c>
      <c r="F4">
        <v>105</v>
      </c>
      <c r="G4">
        <v>2.9</v>
      </c>
      <c r="H4">
        <v>2023</v>
      </c>
      <c r="I4" t="s">
        <v>1072</v>
      </c>
      <c r="J4" t="s">
        <v>1095</v>
      </c>
      <c r="K4">
        <v>3</v>
      </c>
      <c r="L4" t="s">
        <v>1054</v>
      </c>
      <c r="M4">
        <v>1</v>
      </c>
    </row>
    <row r="5" spans="1:13" x14ac:dyDescent="0.2">
      <c r="A5" t="s">
        <v>62</v>
      </c>
      <c r="B5" t="s">
        <v>19</v>
      </c>
      <c r="C5">
        <v>94</v>
      </c>
      <c r="D5" t="s">
        <v>6</v>
      </c>
      <c r="E5" s="37">
        <v>44942</v>
      </c>
      <c r="F5">
        <v>120</v>
      </c>
      <c r="G5">
        <v>3.1</v>
      </c>
      <c r="H5">
        <v>2023</v>
      </c>
      <c r="I5" t="s">
        <v>1068</v>
      </c>
      <c r="J5" t="s">
        <v>1096</v>
      </c>
      <c r="K5">
        <v>3</v>
      </c>
      <c r="L5" t="s">
        <v>1054</v>
      </c>
      <c r="M5">
        <v>1</v>
      </c>
    </row>
    <row r="6" spans="1:13" x14ac:dyDescent="0.2">
      <c r="A6" t="s">
        <v>99</v>
      </c>
      <c r="B6" t="s">
        <v>5</v>
      </c>
      <c r="C6">
        <v>114</v>
      </c>
      <c r="D6" t="s">
        <v>6</v>
      </c>
      <c r="E6" s="37">
        <v>44956</v>
      </c>
      <c r="F6">
        <v>42</v>
      </c>
      <c r="G6">
        <v>2.6</v>
      </c>
      <c r="H6">
        <v>2023</v>
      </c>
      <c r="I6" t="s">
        <v>1068</v>
      </c>
      <c r="J6" t="s">
        <v>1096</v>
      </c>
      <c r="K6">
        <v>3</v>
      </c>
      <c r="L6" t="s">
        <v>1054</v>
      </c>
      <c r="M6">
        <v>1</v>
      </c>
    </row>
    <row r="7" spans="1:13" x14ac:dyDescent="0.2">
      <c r="A7" t="s">
        <v>101</v>
      </c>
      <c r="B7" t="s">
        <v>8</v>
      </c>
      <c r="C7">
        <v>69</v>
      </c>
      <c r="D7" t="s">
        <v>6</v>
      </c>
      <c r="E7" s="37">
        <v>44956</v>
      </c>
      <c r="F7">
        <v>108</v>
      </c>
      <c r="G7">
        <v>3.3</v>
      </c>
      <c r="H7">
        <v>2023</v>
      </c>
      <c r="I7" t="s">
        <v>1068</v>
      </c>
      <c r="J7" t="s">
        <v>1096</v>
      </c>
      <c r="K7">
        <v>3</v>
      </c>
      <c r="L7" t="s">
        <v>1054</v>
      </c>
      <c r="M7">
        <v>1</v>
      </c>
    </row>
    <row r="8" spans="1:13" x14ac:dyDescent="0.2">
      <c r="A8" t="s">
        <v>134</v>
      </c>
      <c r="B8" t="s">
        <v>12</v>
      </c>
      <c r="C8">
        <v>76</v>
      </c>
      <c r="D8" t="s">
        <v>6</v>
      </c>
      <c r="E8" s="37">
        <v>44970</v>
      </c>
      <c r="F8">
        <v>64</v>
      </c>
      <c r="G8">
        <v>3.4</v>
      </c>
      <c r="H8">
        <v>2023</v>
      </c>
      <c r="I8" t="s">
        <v>1068</v>
      </c>
      <c r="J8" t="s">
        <v>1096</v>
      </c>
      <c r="K8">
        <v>3</v>
      </c>
      <c r="L8" t="s">
        <v>1055</v>
      </c>
      <c r="M8">
        <v>2</v>
      </c>
    </row>
    <row r="9" spans="1:13" x14ac:dyDescent="0.2">
      <c r="A9" t="s">
        <v>156</v>
      </c>
      <c r="B9" t="s">
        <v>17</v>
      </c>
      <c r="C9">
        <v>61</v>
      </c>
      <c r="D9" t="s">
        <v>6</v>
      </c>
      <c r="E9" s="37">
        <v>44979</v>
      </c>
      <c r="F9">
        <v>140</v>
      </c>
      <c r="G9">
        <v>3.4</v>
      </c>
      <c r="H9">
        <v>2023</v>
      </c>
      <c r="I9" t="s">
        <v>1073</v>
      </c>
      <c r="J9" t="s">
        <v>1096</v>
      </c>
      <c r="K9">
        <v>3</v>
      </c>
      <c r="L9" t="s">
        <v>1055</v>
      </c>
      <c r="M9">
        <v>2</v>
      </c>
    </row>
    <row r="10" spans="1:13" x14ac:dyDescent="0.2">
      <c r="A10" t="s">
        <v>169</v>
      </c>
      <c r="B10" t="s">
        <v>22</v>
      </c>
      <c r="C10">
        <v>71</v>
      </c>
      <c r="D10" t="s">
        <v>6</v>
      </c>
      <c r="E10" s="37">
        <v>44985</v>
      </c>
      <c r="F10">
        <v>104</v>
      </c>
      <c r="G10">
        <v>3.1</v>
      </c>
      <c r="H10">
        <v>2023</v>
      </c>
      <c r="I10" t="s">
        <v>1072</v>
      </c>
      <c r="J10" t="s">
        <v>1096</v>
      </c>
      <c r="K10">
        <v>3</v>
      </c>
      <c r="L10" t="s">
        <v>1055</v>
      </c>
      <c r="M10">
        <v>2</v>
      </c>
    </row>
    <row r="11" spans="1:13" x14ac:dyDescent="0.2">
      <c r="A11" t="s">
        <v>179</v>
      </c>
      <c r="B11" t="s">
        <v>21</v>
      </c>
      <c r="C11">
        <v>103</v>
      </c>
      <c r="D11" t="s">
        <v>6</v>
      </c>
      <c r="E11" s="37">
        <v>44987</v>
      </c>
      <c r="F11">
        <v>75</v>
      </c>
      <c r="G11">
        <v>2.7</v>
      </c>
      <c r="H11">
        <v>2023</v>
      </c>
      <c r="I11" t="s">
        <v>1071</v>
      </c>
      <c r="J11" t="s">
        <v>1096</v>
      </c>
      <c r="K11">
        <v>3</v>
      </c>
      <c r="L11" t="s">
        <v>1056</v>
      </c>
      <c r="M11">
        <v>3</v>
      </c>
    </row>
    <row r="12" spans="1:13" x14ac:dyDescent="0.2">
      <c r="A12" t="s">
        <v>192</v>
      </c>
      <c r="B12" t="s">
        <v>23</v>
      </c>
      <c r="C12">
        <v>28</v>
      </c>
      <c r="D12" t="s">
        <v>6</v>
      </c>
      <c r="E12" s="37">
        <v>44988</v>
      </c>
      <c r="F12">
        <v>84</v>
      </c>
      <c r="G12">
        <v>3.2</v>
      </c>
      <c r="H12">
        <v>2023</v>
      </c>
      <c r="I12" t="s">
        <v>1067</v>
      </c>
      <c r="J12" t="s">
        <v>1097</v>
      </c>
      <c r="K12">
        <v>3</v>
      </c>
      <c r="L12" t="s">
        <v>1056</v>
      </c>
      <c r="M12">
        <v>3</v>
      </c>
    </row>
    <row r="13" spans="1:13" x14ac:dyDescent="0.2">
      <c r="A13" t="s">
        <v>214</v>
      </c>
      <c r="B13" t="s">
        <v>17</v>
      </c>
      <c r="C13">
        <v>80</v>
      </c>
      <c r="D13" t="s">
        <v>6</v>
      </c>
      <c r="E13" s="37">
        <v>44992</v>
      </c>
      <c r="F13">
        <v>45</v>
      </c>
      <c r="G13">
        <v>3</v>
      </c>
      <c r="H13">
        <v>2023</v>
      </c>
      <c r="I13" t="s">
        <v>1072</v>
      </c>
      <c r="J13" t="s">
        <v>1096</v>
      </c>
      <c r="K13">
        <v>3</v>
      </c>
      <c r="L13" t="s">
        <v>1056</v>
      </c>
      <c r="M13">
        <v>3</v>
      </c>
    </row>
    <row r="14" spans="1:13" x14ac:dyDescent="0.2">
      <c r="A14" t="s">
        <v>217</v>
      </c>
      <c r="B14" t="s">
        <v>5</v>
      </c>
      <c r="C14">
        <v>75</v>
      </c>
      <c r="D14" t="s">
        <v>6</v>
      </c>
      <c r="E14" s="37">
        <v>44994</v>
      </c>
      <c r="F14">
        <v>195</v>
      </c>
      <c r="G14">
        <v>3</v>
      </c>
      <c r="H14">
        <v>2023</v>
      </c>
      <c r="I14" t="s">
        <v>1071</v>
      </c>
      <c r="J14" t="s">
        <v>1096</v>
      </c>
      <c r="K14">
        <v>3</v>
      </c>
      <c r="L14" t="s">
        <v>1056</v>
      </c>
      <c r="M14">
        <v>3</v>
      </c>
    </row>
    <row r="15" spans="1:13" x14ac:dyDescent="0.2">
      <c r="A15" t="s">
        <v>238</v>
      </c>
      <c r="B15" t="s">
        <v>23</v>
      </c>
      <c r="C15">
        <v>85</v>
      </c>
      <c r="D15" t="s">
        <v>6</v>
      </c>
      <c r="E15" s="37">
        <v>44998</v>
      </c>
      <c r="F15">
        <v>66</v>
      </c>
      <c r="G15">
        <v>2.8</v>
      </c>
      <c r="H15">
        <v>2023</v>
      </c>
      <c r="I15" t="s">
        <v>1068</v>
      </c>
      <c r="J15" t="s">
        <v>1096</v>
      </c>
      <c r="K15">
        <v>3</v>
      </c>
      <c r="L15" t="s">
        <v>1056</v>
      </c>
      <c r="M15">
        <v>3</v>
      </c>
    </row>
    <row r="16" spans="1:13" x14ac:dyDescent="0.2">
      <c r="A16" t="s">
        <v>243</v>
      </c>
      <c r="B16" t="s">
        <v>5</v>
      </c>
      <c r="C16">
        <v>65</v>
      </c>
      <c r="D16" t="s">
        <v>6</v>
      </c>
      <c r="E16" s="37">
        <v>44999</v>
      </c>
      <c r="F16">
        <v>84</v>
      </c>
      <c r="G16">
        <v>2.5</v>
      </c>
      <c r="H16">
        <v>2023</v>
      </c>
      <c r="I16" t="s">
        <v>1072</v>
      </c>
      <c r="J16" t="s">
        <v>1096</v>
      </c>
      <c r="K16">
        <v>3</v>
      </c>
      <c r="L16" t="s">
        <v>1056</v>
      </c>
      <c r="M16">
        <v>3</v>
      </c>
    </row>
    <row r="17" spans="1:13" x14ac:dyDescent="0.2">
      <c r="A17" t="s">
        <v>277</v>
      </c>
      <c r="B17" t="s">
        <v>21</v>
      </c>
      <c r="C17">
        <v>88</v>
      </c>
      <c r="D17" t="s">
        <v>6</v>
      </c>
      <c r="E17" s="37">
        <v>45005</v>
      </c>
      <c r="F17">
        <v>144</v>
      </c>
      <c r="G17">
        <v>2.9</v>
      </c>
      <c r="H17">
        <v>2023</v>
      </c>
      <c r="I17" t="s">
        <v>1068</v>
      </c>
      <c r="J17" t="s">
        <v>1096</v>
      </c>
      <c r="K17">
        <v>3</v>
      </c>
      <c r="L17" t="s">
        <v>1056</v>
      </c>
      <c r="M17">
        <v>3</v>
      </c>
    </row>
    <row r="18" spans="1:13" x14ac:dyDescent="0.2">
      <c r="A18" t="s">
        <v>389</v>
      </c>
      <c r="B18" t="s">
        <v>7</v>
      </c>
      <c r="C18">
        <v>128</v>
      </c>
      <c r="D18" t="s">
        <v>6</v>
      </c>
      <c r="E18" s="37">
        <v>45031</v>
      </c>
      <c r="F18">
        <v>140</v>
      </c>
      <c r="G18">
        <v>3</v>
      </c>
      <c r="H18">
        <v>2023</v>
      </c>
      <c r="I18" t="s">
        <v>1069</v>
      </c>
      <c r="J18" t="s">
        <v>1098</v>
      </c>
      <c r="K18">
        <v>3</v>
      </c>
      <c r="L18" t="s">
        <v>1057</v>
      </c>
      <c r="M18">
        <v>4</v>
      </c>
    </row>
    <row r="19" spans="1:13" x14ac:dyDescent="0.2">
      <c r="A19" t="s">
        <v>391</v>
      </c>
      <c r="B19" t="s">
        <v>17</v>
      </c>
      <c r="C19">
        <v>41</v>
      </c>
      <c r="D19" t="s">
        <v>6</v>
      </c>
      <c r="E19" s="37">
        <v>45032</v>
      </c>
      <c r="F19">
        <v>164</v>
      </c>
      <c r="G19">
        <v>3.1</v>
      </c>
      <c r="H19">
        <v>2023</v>
      </c>
      <c r="I19" t="s">
        <v>1070</v>
      </c>
      <c r="J19" t="s">
        <v>1095</v>
      </c>
      <c r="K19">
        <v>3</v>
      </c>
      <c r="L19" t="s">
        <v>1057</v>
      </c>
      <c r="M19">
        <v>4</v>
      </c>
    </row>
    <row r="20" spans="1:13" x14ac:dyDescent="0.2">
      <c r="A20" t="s">
        <v>392</v>
      </c>
      <c r="B20" t="s">
        <v>24</v>
      </c>
      <c r="C20">
        <v>49</v>
      </c>
      <c r="D20" t="s">
        <v>6</v>
      </c>
      <c r="E20" s="37">
        <v>45032</v>
      </c>
      <c r="F20">
        <v>195</v>
      </c>
      <c r="G20">
        <v>2.6</v>
      </c>
      <c r="H20">
        <v>2023</v>
      </c>
      <c r="I20" t="s">
        <v>1070</v>
      </c>
      <c r="J20" t="s">
        <v>1095</v>
      </c>
      <c r="K20">
        <v>3</v>
      </c>
      <c r="L20" t="s">
        <v>1057</v>
      </c>
      <c r="M20">
        <v>4</v>
      </c>
    </row>
    <row r="21" spans="1:13" x14ac:dyDescent="0.2">
      <c r="A21" t="s">
        <v>455</v>
      </c>
      <c r="B21" t="s">
        <v>24</v>
      </c>
      <c r="C21">
        <v>135</v>
      </c>
      <c r="D21" t="s">
        <v>6</v>
      </c>
      <c r="E21" s="37">
        <v>45045</v>
      </c>
      <c r="F21">
        <v>125</v>
      </c>
      <c r="G21">
        <v>3.3</v>
      </c>
      <c r="H21">
        <v>2023</v>
      </c>
      <c r="I21" t="s">
        <v>1069</v>
      </c>
      <c r="J21" t="s">
        <v>1098</v>
      </c>
      <c r="K21">
        <v>3</v>
      </c>
      <c r="L21" t="s">
        <v>1057</v>
      </c>
      <c r="M21">
        <v>4</v>
      </c>
    </row>
    <row r="22" spans="1:13" x14ac:dyDescent="0.2">
      <c r="A22" t="s">
        <v>464</v>
      </c>
      <c r="B22" t="s">
        <v>12</v>
      </c>
      <c r="C22">
        <v>112</v>
      </c>
      <c r="D22" t="s">
        <v>6</v>
      </c>
      <c r="E22" s="37">
        <v>45047</v>
      </c>
      <c r="F22">
        <v>84</v>
      </c>
      <c r="G22">
        <v>2.6</v>
      </c>
      <c r="H22">
        <v>2023</v>
      </c>
      <c r="I22" t="s">
        <v>1068</v>
      </c>
      <c r="J22" t="s">
        <v>1096</v>
      </c>
      <c r="K22">
        <v>3</v>
      </c>
      <c r="L22" t="s">
        <v>1058</v>
      </c>
      <c r="M22">
        <v>5</v>
      </c>
    </row>
    <row r="23" spans="1:13" x14ac:dyDescent="0.2">
      <c r="A23" t="s">
        <v>469</v>
      </c>
      <c r="B23" t="s">
        <v>14</v>
      </c>
      <c r="C23">
        <v>41</v>
      </c>
      <c r="D23" t="s">
        <v>6</v>
      </c>
      <c r="E23" s="37">
        <v>45048</v>
      </c>
      <c r="F23">
        <v>123</v>
      </c>
      <c r="G23">
        <v>3.2</v>
      </c>
      <c r="H23">
        <v>2023</v>
      </c>
      <c r="I23" t="s">
        <v>1072</v>
      </c>
      <c r="J23" t="s">
        <v>1095</v>
      </c>
      <c r="K23">
        <v>3</v>
      </c>
      <c r="L23" t="s">
        <v>1058</v>
      </c>
      <c r="M23">
        <v>5</v>
      </c>
    </row>
    <row r="24" spans="1:13" x14ac:dyDescent="0.2">
      <c r="A24" t="s">
        <v>511</v>
      </c>
      <c r="B24" t="s">
        <v>18</v>
      </c>
      <c r="C24">
        <v>64</v>
      </c>
      <c r="D24" t="s">
        <v>6</v>
      </c>
      <c r="E24" s="37">
        <v>45068</v>
      </c>
      <c r="F24">
        <v>132</v>
      </c>
      <c r="G24">
        <v>3.3</v>
      </c>
      <c r="H24">
        <v>2023</v>
      </c>
      <c r="I24" t="s">
        <v>1068</v>
      </c>
      <c r="J24" t="s">
        <v>1096</v>
      </c>
      <c r="K24">
        <v>3</v>
      </c>
      <c r="L24" t="s">
        <v>1058</v>
      </c>
      <c r="M24">
        <v>5</v>
      </c>
    </row>
    <row r="25" spans="1:13" x14ac:dyDescent="0.2">
      <c r="A25" t="s">
        <v>522</v>
      </c>
      <c r="B25" t="s">
        <v>5</v>
      </c>
      <c r="C25">
        <v>148</v>
      </c>
      <c r="D25" t="s">
        <v>6</v>
      </c>
      <c r="E25" s="37">
        <v>45071</v>
      </c>
      <c r="F25">
        <v>36</v>
      </c>
      <c r="G25">
        <v>2.9</v>
      </c>
      <c r="H25">
        <v>2023</v>
      </c>
      <c r="I25" t="s">
        <v>1071</v>
      </c>
      <c r="J25" t="s">
        <v>1098</v>
      </c>
      <c r="K25">
        <v>3</v>
      </c>
      <c r="L25" t="s">
        <v>1058</v>
      </c>
      <c r="M25">
        <v>5</v>
      </c>
    </row>
    <row r="26" spans="1:13" x14ac:dyDescent="0.2">
      <c r="A26" t="s">
        <v>539</v>
      </c>
      <c r="B26" t="s">
        <v>18</v>
      </c>
      <c r="C26">
        <v>134</v>
      </c>
      <c r="D26" t="s">
        <v>6</v>
      </c>
      <c r="E26" s="37">
        <v>45076</v>
      </c>
      <c r="F26">
        <v>120</v>
      </c>
      <c r="G26">
        <v>3</v>
      </c>
      <c r="H26">
        <v>2023</v>
      </c>
      <c r="I26" t="s">
        <v>1072</v>
      </c>
      <c r="J26" t="s">
        <v>1098</v>
      </c>
      <c r="K26">
        <v>3</v>
      </c>
      <c r="L26" t="s">
        <v>1058</v>
      </c>
      <c r="M26">
        <v>5</v>
      </c>
    </row>
    <row r="27" spans="1:13" x14ac:dyDescent="0.2">
      <c r="A27" t="s">
        <v>566</v>
      </c>
      <c r="B27" t="s">
        <v>24</v>
      </c>
      <c r="C27">
        <v>71</v>
      </c>
      <c r="D27" t="s">
        <v>6</v>
      </c>
      <c r="E27" s="37">
        <v>45089</v>
      </c>
      <c r="F27">
        <v>52</v>
      </c>
      <c r="G27">
        <v>3.4</v>
      </c>
      <c r="H27">
        <v>2023</v>
      </c>
      <c r="I27" t="s">
        <v>1068</v>
      </c>
      <c r="J27" t="s">
        <v>1096</v>
      </c>
      <c r="K27">
        <v>3</v>
      </c>
      <c r="L27" t="s">
        <v>1059</v>
      </c>
      <c r="M27">
        <v>6</v>
      </c>
    </row>
    <row r="28" spans="1:13" x14ac:dyDescent="0.2">
      <c r="A28" t="s">
        <v>571</v>
      </c>
      <c r="B28" t="s">
        <v>12</v>
      </c>
      <c r="C28">
        <v>70</v>
      </c>
      <c r="D28" t="s">
        <v>6</v>
      </c>
      <c r="E28" s="37">
        <v>45092</v>
      </c>
      <c r="F28">
        <v>116</v>
      </c>
      <c r="G28">
        <v>3.2</v>
      </c>
      <c r="H28">
        <v>2023</v>
      </c>
      <c r="I28" t="s">
        <v>1071</v>
      </c>
      <c r="J28" t="s">
        <v>1096</v>
      </c>
      <c r="K28">
        <v>3</v>
      </c>
      <c r="L28" t="s">
        <v>1059</v>
      </c>
      <c r="M28">
        <v>6</v>
      </c>
    </row>
    <row r="29" spans="1:13" x14ac:dyDescent="0.2">
      <c r="A29" t="s">
        <v>581</v>
      </c>
      <c r="B29" t="s">
        <v>15</v>
      </c>
      <c r="C29">
        <v>49</v>
      </c>
      <c r="D29" t="s">
        <v>6</v>
      </c>
      <c r="E29" s="37">
        <v>45096</v>
      </c>
      <c r="F29">
        <v>84</v>
      </c>
      <c r="G29">
        <v>2.9</v>
      </c>
      <c r="H29">
        <v>2023</v>
      </c>
      <c r="I29" t="s">
        <v>1068</v>
      </c>
      <c r="J29" t="s">
        <v>1095</v>
      </c>
      <c r="K29">
        <v>3</v>
      </c>
      <c r="L29" t="s">
        <v>1059</v>
      </c>
      <c r="M29">
        <v>6</v>
      </c>
    </row>
    <row r="30" spans="1:13" x14ac:dyDescent="0.2">
      <c r="A30" t="s">
        <v>634</v>
      </c>
      <c r="B30" t="s">
        <v>22</v>
      </c>
      <c r="C30">
        <v>98</v>
      </c>
      <c r="D30" t="s">
        <v>6</v>
      </c>
      <c r="E30" s="37">
        <v>45117</v>
      </c>
      <c r="F30">
        <v>130</v>
      </c>
      <c r="G30">
        <v>3.4</v>
      </c>
      <c r="H30">
        <v>2024</v>
      </c>
      <c r="I30" t="s">
        <v>1068</v>
      </c>
      <c r="J30" t="s">
        <v>1096</v>
      </c>
      <c r="K30">
        <v>3</v>
      </c>
      <c r="L30" t="s">
        <v>1060</v>
      </c>
      <c r="M30">
        <v>7</v>
      </c>
    </row>
    <row r="31" spans="1:13" x14ac:dyDescent="0.2">
      <c r="A31" t="s">
        <v>635</v>
      </c>
      <c r="B31" t="s">
        <v>19</v>
      </c>
      <c r="C31">
        <v>52</v>
      </c>
      <c r="D31" t="s">
        <v>6</v>
      </c>
      <c r="E31" s="37">
        <v>45117</v>
      </c>
      <c r="F31">
        <v>190</v>
      </c>
      <c r="G31">
        <v>3.3</v>
      </c>
      <c r="H31">
        <v>2024</v>
      </c>
      <c r="I31" t="s">
        <v>1068</v>
      </c>
      <c r="J31" t="s">
        <v>1095</v>
      </c>
      <c r="K31">
        <v>3</v>
      </c>
      <c r="L31" t="s">
        <v>1060</v>
      </c>
      <c r="M31">
        <v>7</v>
      </c>
    </row>
    <row r="32" spans="1:13" x14ac:dyDescent="0.2">
      <c r="A32" t="s">
        <v>652</v>
      </c>
      <c r="B32" t="s">
        <v>12</v>
      </c>
      <c r="C32">
        <v>144</v>
      </c>
      <c r="D32" t="s">
        <v>6</v>
      </c>
      <c r="E32" s="37">
        <v>45126</v>
      </c>
      <c r="F32">
        <v>164</v>
      </c>
      <c r="G32">
        <v>2.8</v>
      </c>
      <c r="H32">
        <v>2024</v>
      </c>
      <c r="I32" t="s">
        <v>1073</v>
      </c>
      <c r="J32" t="s">
        <v>1098</v>
      </c>
      <c r="K32">
        <v>3</v>
      </c>
      <c r="L32" t="s">
        <v>1060</v>
      </c>
      <c r="M32">
        <v>7</v>
      </c>
    </row>
    <row r="33" spans="1:13" x14ac:dyDescent="0.2">
      <c r="A33" t="s">
        <v>665</v>
      </c>
      <c r="B33" t="s">
        <v>22</v>
      </c>
      <c r="C33">
        <v>31</v>
      </c>
      <c r="D33" t="s">
        <v>6</v>
      </c>
      <c r="E33" s="37">
        <v>45134</v>
      </c>
      <c r="F33">
        <v>160</v>
      </c>
      <c r="G33">
        <v>3.4</v>
      </c>
      <c r="H33">
        <v>2024</v>
      </c>
      <c r="I33" t="s">
        <v>1071</v>
      </c>
      <c r="J33" t="s">
        <v>1095</v>
      </c>
      <c r="K33">
        <v>3</v>
      </c>
      <c r="L33" t="s">
        <v>1060</v>
      </c>
      <c r="M33">
        <v>7</v>
      </c>
    </row>
    <row r="34" spans="1:13" x14ac:dyDescent="0.2">
      <c r="A34" t="s">
        <v>686</v>
      </c>
      <c r="B34" t="s">
        <v>8</v>
      </c>
      <c r="C34">
        <v>115</v>
      </c>
      <c r="D34" t="s">
        <v>6</v>
      </c>
      <c r="E34" s="37">
        <v>45145</v>
      </c>
      <c r="F34">
        <v>40</v>
      </c>
      <c r="G34">
        <v>3.3</v>
      </c>
      <c r="H34">
        <v>2024</v>
      </c>
      <c r="I34" t="s">
        <v>1068</v>
      </c>
      <c r="J34" t="s">
        <v>1096</v>
      </c>
      <c r="K34">
        <v>3</v>
      </c>
      <c r="L34" t="s">
        <v>1061</v>
      </c>
      <c r="M34">
        <v>8</v>
      </c>
    </row>
    <row r="35" spans="1:13" x14ac:dyDescent="0.2">
      <c r="A35" t="s">
        <v>714</v>
      </c>
      <c r="B35" t="s">
        <v>17</v>
      </c>
      <c r="C35">
        <v>165</v>
      </c>
      <c r="D35" t="s">
        <v>6</v>
      </c>
      <c r="E35" s="37">
        <v>45164</v>
      </c>
      <c r="F35">
        <v>82</v>
      </c>
      <c r="G35">
        <v>3.4</v>
      </c>
      <c r="H35">
        <v>2024</v>
      </c>
      <c r="I35" t="s">
        <v>1069</v>
      </c>
      <c r="J35" t="s">
        <v>1098</v>
      </c>
      <c r="K35">
        <v>3</v>
      </c>
      <c r="L35" t="s">
        <v>1061</v>
      </c>
      <c r="M35">
        <v>8</v>
      </c>
    </row>
    <row r="36" spans="1:13" x14ac:dyDescent="0.2">
      <c r="A36" t="s">
        <v>738</v>
      </c>
      <c r="B36" t="s">
        <v>21</v>
      </c>
      <c r="C36">
        <v>58</v>
      </c>
      <c r="D36" t="s">
        <v>6</v>
      </c>
      <c r="E36" s="37">
        <v>45175</v>
      </c>
      <c r="F36">
        <v>96</v>
      </c>
      <c r="G36">
        <v>3.2</v>
      </c>
      <c r="H36">
        <v>2024</v>
      </c>
      <c r="I36" t="s">
        <v>1073</v>
      </c>
      <c r="J36" t="s">
        <v>1095</v>
      </c>
      <c r="K36">
        <v>3</v>
      </c>
      <c r="L36" t="s">
        <v>1062</v>
      </c>
      <c r="M36">
        <v>9</v>
      </c>
    </row>
    <row r="37" spans="1:13" x14ac:dyDescent="0.2">
      <c r="A37" t="s">
        <v>749</v>
      </c>
      <c r="B37" t="s">
        <v>17</v>
      </c>
      <c r="C37">
        <v>156</v>
      </c>
      <c r="D37" t="s">
        <v>6</v>
      </c>
      <c r="E37" s="37">
        <v>45179</v>
      </c>
      <c r="F37">
        <v>64</v>
      </c>
      <c r="G37">
        <v>2.7</v>
      </c>
      <c r="H37">
        <v>2024</v>
      </c>
      <c r="I37" t="s">
        <v>1070</v>
      </c>
      <c r="J37" t="s">
        <v>1098</v>
      </c>
      <c r="K37">
        <v>3</v>
      </c>
      <c r="L37" t="s">
        <v>1062</v>
      </c>
      <c r="M37">
        <v>9</v>
      </c>
    </row>
    <row r="38" spans="1:13" x14ac:dyDescent="0.2">
      <c r="A38" t="s">
        <v>795</v>
      </c>
      <c r="B38" t="s">
        <v>12</v>
      </c>
      <c r="C38">
        <v>120</v>
      </c>
      <c r="D38" t="s">
        <v>6</v>
      </c>
      <c r="E38" s="37">
        <v>45199</v>
      </c>
      <c r="F38">
        <v>68</v>
      </c>
      <c r="G38">
        <v>3.4</v>
      </c>
      <c r="H38">
        <v>2024</v>
      </c>
      <c r="I38" t="s">
        <v>1069</v>
      </c>
      <c r="J38" t="s">
        <v>1096</v>
      </c>
      <c r="K38">
        <v>3</v>
      </c>
      <c r="L38" t="s">
        <v>1062</v>
      </c>
      <c r="M38">
        <v>9</v>
      </c>
    </row>
    <row r="39" spans="1:13" x14ac:dyDescent="0.2">
      <c r="A39" t="s">
        <v>836</v>
      </c>
      <c r="B39" t="s">
        <v>14</v>
      </c>
      <c r="C39">
        <v>94</v>
      </c>
      <c r="D39" t="s">
        <v>6</v>
      </c>
      <c r="E39" s="37">
        <v>45208</v>
      </c>
      <c r="F39">
        <v>120</v>
      </c>
      <c r="G39">
        <v>3.4</v>
      </c>
      <c r="H39">
        <v>2024</v>
      </c>
      <c r="I39" t="s">
        <v>1068</v>
      </c>
      <c r="J39" t="s">
        <v>1096</v>
      </c>
      <c r="K39">
        <v>3</v>
      </c>
      <c r="L39" t="s">
        <v>1063</v>
      </c>
      <c r="M39">
        <v>10</v>
      </c>
    </row>
    <row r="40" spans="1:13" x14ac:dyDescent="0.2">
      <c r="A40" t="s">
        <v>837</v>
      </c>
      <c r="B40" t="s">
        <v>16</v>
      </c>
      <c r="C40">
        <v>56</v>
      </c>
      <c r="D40" t="s">
        <v>6</v>
      </c>
      <c r="E40" s="37">
        <v>45208</v>
      </c>
      <c r="F40">
        <v>205</v>
      </c>
      <c r="G40">
        <v>3.3</v>
      </c>
      <c r="H40">
        <v>2024</v>
      </c>
      <c r="I40" t="s">
        <v>1068</v>
      </c>
      <c r="J40" t="s">
        <v>1095</v>
      </c>
      <c r="K40">
        <v>3</v>
      </c>
      <c r="L40" t="s">
        <v>1063</v>
      </c>
      <c r="M40">
        <v>10</v>
      </c>
    </row>
    <row r="41" spans="1:13" x14ac:dyDescent="0.2">
      <c r="A41" t="s">
        <v>840</v>
      </c>
      <c r="B41" t="s">
        <v>21</v>
      </c>
      <c r="C41">
        <v>108</v>
      </c>
      <c r="D41" t="s">
        <v>6</v>
      </c>
      <c r="E41" s="37">
        <v>45209</v>
      </c>
      <c r="F41">
        <v>68</v>
      </c>
      <c r="G41">
        <v>2.5</v>
      </c>
      <c r="H41">
        <v>2024</v>
      </c>
      <c r="I41" t="s">
        <v>1072</v>
      </c>
      <c r="J41" t="s">
        <v>1096</v>
      </c>
      <c r="K41">
        <v>3</v>
      </c>
      <c r="L41" t="s">
        <v>1063</v>
      </c>
      <c r="M41">
        <v>10</v>
      </c>
    </row>
    <row r="42" spans="1:13" x14ac:dyDescent="0.2">
      <c r="A42" t="s">
        <v>860</v>
      </c>
      <c r="B42" t="s">
        <v>8</v>
      </c>
      <c r="C42">
        <v>70</v>
      </c>
      <c r="D42" t="s">
        <v>6</v>
      </c>
      <c r="E42" s="37">
        <v>45214</v>
      </c>
      <c r="F42">
        <v>50</v>
      </c>
      <c r="G42">
        <v>3.4</v>
      </c>
      <c r="H42">
        <v>2024</v>
      </c>
      <c r="I42" t="s">
        <v>1070</v>
      </c>
      <c r="J42" t="s">
        <v>1096</v>
      </c>
      <c r="K42">
        <v>3</v>
      </c>
      <c r="L42" t="s">
        <v>1063</v>
      </c>
      <c r="M42">
        <v>10</v>
      </c>
    </row>
    <row r="43" spans="1:13" x14ac:dyDescent="0.2">
      <c r="A43" t="s">
        <v>865</v>
      </c>
      <c r="B43" t="s">
        <v>19</v>
      </c>
      <c r="C43">
        <v>103</v>
      </c>
      <c r="D43" t="s">
        <v>6</v>
      </c>
      <c r="E43" s="37">
        <v>45215</v>
      </c>
      <c r="F43">
        <v>78</v>
      </c>
      <c r="G43">
        <v>3</v>
      </c>
      <c r="H43">
        <v>2024</v>
      </c>
      <c r="I43" t="s">
        <v>1068</v>
      </c>
      <c r="J43" t="s">
        <v>1096</v>
      </c>
      <c r="K43">
        <v>3</v>
      </c>
      <c r="L43" t="s">
        <v>1063</v>
      </c>
      <c r="M43">
        <v>10</v>
      </c>
    </row>
    <row r="44" spans="1:13" x14ac:dyDescent="0.2">
      <c r="A44" t="s">
        <v>873</v>
      </c>
      <c r="B44" t="s">
        <v>18</v>
      </c>
      <c r="C44">
        <v>127</v>
      </c>
      <c r="D44" t="s">
        <v>6</v>
      </c>
      <c r="E44" s="37">
        <v>45217</v>
      </c>
      <c r="F44">
        <v>165</v>
      </c>
      <c r="G44">
        <v>2.5</v>
      </c>
      <c r="H44">
        <v>2024</v>
      </c>
      <c r="I44" t="s">
        <v>1073</v>
      </c>
      <c r="J44" t="s">
        <v>1098</v>
      </c>
      <c r="K44">
        <v>3</v>
      </c>
      <c r="L44" t="s">
        <v>1063</v>
      </c>
      <c r="M44">
        <v>10</v>
      </c>
    </row>
    <row r="45" spans="1:13" x14ac:dyDescent="0.2">
      <c r="A45" t="s">
        <v>907</v>
      </c>
      <c r="B45" t="s">
        <v>14</v>
      </c>
      <c r="C45">
        <v>18</v>
      </c>
      <c r="D45" t="s">
        <v>6</v>
      </c>
      <c r="E45" s="37">
        <v>45227</v>
      </c>
      <c r="F45">
        <v>225</v>
      </c>
      <c r="G45">
        <v>2.6</v>
      </c>
      <c r="H45">
        <v>2024</v>
      </c>
      <c r="I45" t="s">
        <v>1069</v>
      </c>
      <c r="J45" t="s">
        <v>1097</v>
      </c>
      <c r="K45">
        <v>3</v>
      </c>
      <c r="L45" t="s">
        <v>1063</v>
      </c>
      <c r="M45">
        <v>10</v>
      </c>
    </row>
    <row r="46" spans="1:13" x14ac:dyDescent="0.2">
      <c r="A46" t="s">
        <v>954</v>
      </c>
      <c r="B46" t="s">
        <v>16</v>
      </c>
      <c r="C46">
        <v>107</v>
      </c>
      <c r="D46" t="s">
        <v>6</v>
      </c>
      <c r="E46" s="37">
        <v>45248</v>
      </c>
      <c r="F46">
        <v>23</v>
      </c>
      <c r="G46">
        <v>3.4</v>
      </c>
      <c r="H46">
        <v>2024</v>
      </c>
      <c r="I46" t="s">
        <v>1069</v>
      </c>
      <c r="J46" t="s">
        <v>1096</v>
      </c>
      <c r="K46">
        <v>3</v>
      </c>
      <c r="L46" t="s">
        <v>1064</v>
      </c>
      <c r="M46">
        <v>11</v>
      </c>
    </row>
    <row r="47" spans="1:13" x14ac:dyDescent="0.2">
      <c r="A47" t="s">
        <v>958</v>
      </c>
      <c r="B47" t="s">
        <v>21</v>
      </c>
      <c r="C47">
        <v>158</v>
      </c>
      <c r="D47" t="s">
        <v>6</v>
      </c>
      <c r="E47" s="37">
        <v>45251</v>
      </c>
      <c r="F47">
        <v>36</v>
      </c>
      <c r="G47">
        <v>3</v>
      </c>
      <c r="H47">
        <v>2024</v>
      </c>
      <c r="I47" t="s">
        <v>1072</v>
      </c>
      <c r="J47" t="s">
        <v>1098</v>
      </c>
      <c r="K47">
        <v>3</v>
      </c>
      <c r="L47" t="s">
        <v>1064</v>
      </c>
      <c r="M47">
        <v>11</v>
      </c>
    </row>
    <row r="48" spans="1:13" x14ac:dyDescent="0.2">
      <c r="A48" t="s">
        <v>971</v>
      </c>
      <c r="B48" t="s">
        <v>14</v>
      </c>
      <c r="C48">
        <v>2</v>
      </c>
      <c r="D48" t="s">
        <v>6</v>
      </c>
      <c r="E48" s="37">
        <v>45259</v>
      </c>
      <c r="F48">
        <v>62</v>
      </c>
      <c r="G48">
        <v>2.8</v>
      </c>
      <c r="H48">
        <v>2024</v>
      </c>
      <c r="I48" t="s">
        <v>1073</v>
      </c>
      <c r="J48" t="s">
        <v>1099</v>
      </c>
      <c r="K48">
        <v>3</v>
      </c>
      <c r="L48" t="s">
        <v>1064</v>
      </c>
      <c r="M48">
        <v>11</v>
      </c>
    </row>
    <row r="49" spans="1:13" x14ac:dyDescent="0.2">
      <c r="A49" t="s">
        <v>992</v>
      </c>
      <c r="B49" t="s">
        <v>5</v>
      </c>
      <c r="C49">
        <v>127</v>
      </c>
      <c r="D49" t="s">
        <v>6</v>
      </c>
      <c r="E49" s="37">
        <v>45275</v>
      </c>
      <c r="F49">
        <v>145</v>
      </c>
      <c r="G49">
        <v>2.6</v>
      </c>
      <c r="H49">
        <v>2024</v>
      </c>
      <c r="I49" t="s">
        <v>1067</v>
      </c>
      <c r="J49" t="s">
        <v>1098</v>
      </c>
      <c r="K49">
        <v>3</v>
      </c>
      <c r="L49" t="s">
        <v>1065</v>
      </c>
      <c r="M49">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E13B6-8CE2-4AB9-B9CC-2235229C4F5D}">
  <dimension ref="R21:X39"/>
  <sheetViews>
    <sheetView showGridLines="0" tabSelected="1" zoomScale="74" workbookViewId="0">
      <selection activeCell="R34" sqref="R34"/>
    </sheetView>
  </sheetViews>
  <sheetFormatPr baseColWidth="10" defaultColWidth="8.83203125" defaultRowHeight="15" x14ac:dyDescent="0.2"/>
  <cols>
    <col min="1" max="1" width="2.5" style="20" customWidth="1"/>
    <col min="2" max="2" width="2.33203125" style="20" customWidth="1"/>
    <col min="3" max="3" width="8.83203125" style="20"/>
    <col min="4" max="4" width="12.6640625" style="20" customWidth="1"/>
    <col min="5" max="5" width="4.83203125" style="20" customWidth="1"/>
    <col min="6" max="6" width="2.83203125" style="20" customWidth="1"/>
    <col min="7" max="18" width="8.83203125" style="20"/>
    <col min="19" max="20" width="8.83203125" style="20" customWidth="1"/>
    <col min="21" max="16384" width="8.83203125" style="20"/>
  </cols>
  <sheetData>
    <row r="21" spans="18:24" x14ac:dyDescent="0.2">
      <c r="R21" s="39"/>
      <c r="S21" s="42" t="str" cm="1">
        <f t="array" ref="S21:W21">pivort!B113:F113</f>
        <v>R01</v>
      </c>
      <c r="T21" s="42" t="str">
        <v>R02</v>
      </c>
      <c r="U21" s="42" t="str">
        <v>R03</v>
      </c>
      <c r="V21" s="42" t="str">
        <v>R04</v>
      </c>
      <c r="W21" s="42" t="str">
        <v>R05</v>
      </c>
      <c r="X21" s="42" t="s">
        <v>1101</v>
      </c>
    </row>
    <row r="22" spans="18:24" x14ac:dyDescent="0.2">
      <c r="R22" s="42" t="str" cm="1">
        <f t="array" ref="R22:X39">IF(pivort!A114:G131=" "," ",pivort!A114:G131)</f>
        <v>Cincinnati</v>
      </c>
      <c r="S22" s="39">
        <v>0</v>
      </c>
      <c r="T22" s="39">
        <v>0</v>
      </c>
      <c r="U22" s="39">
        <v>0</v>
      </c>
      <c r="V22" s="39">
        <v>0</v>
      </c>
      <c r="W22" s="39">
        <v>0</v>
      </c>
      <c r="X22" s="39">
        <v>0</v>
      </c>
    </row>
    <row r="23" spans="18:24" x14ac:dyDescent="0.2">
      <c r="R23" s="40" t="str">
        <v>C0003</v>
      </c>
      <c r="S23" s="41">
        <v>891</v>
      </c>
      <c r="T23" s="41">
        <v>1332</v>
      </c>
      <c r="U23" s="41">
        <v>1282</v>
      </c>
      <c r="V23" s="41">
        <v>739</v>
      </c>
      <c r="W23" s="41">
        <v>560</v>
      </c>
      <c r="X23" s="41">
        <v>4804</v>
      </c>
    </row>
    <row r="24" spans="18:24" x14ac:dyDescent="0.2">
      <c r="R24" s="40" t="str">
        <v>C0004</v>
      </c>
      <c r="S24" s="41">
        <v>1991</v>
      </c>
      <c r="T24" s="41">
        <v>1886</v>
      </c>
      <c r="U24" s="41">
        <v>1206</v>
      </c>
      <c r="V24" s="41">
        <v>884</v>
      </c>
      <c r="W24" s="41">
        <v>1722</v>
      </c>
      <c r="X24" s="41">
        <v>7689</v>
      </c>
    </row>
    <row r="25" spans="18:24" x14ac:dyDescent="0.2">
      <c r="R25" s="40" t="str">
        <v>C0011</v>
      </c>
      <c r="S25" s="41">
        <v>1163</v>
      </c>
      <c r="T25" s="41">
        <v>1180</v>
      </c>
      <c r="U25" s="41">
        <v>1616</v>
      </c>
      <c r="V25" s="41">
        <v>1043</v>
      </c>
      <c r="W25" s="41">
        <v>1747</v>
      </c>
      <c r="X25" s="41">
        <v>6749</v>
      </c>
    </row>
    <row r="26" spans="18:24" x14ac:dyDescent="0.2">
      <c r="R26" s="40" t="str">
        <v>C0012</v>
      </c>
      <c r="S26" s="41">
        <v>1438</v>
      </c>
      <c r="T26" s="41">
        <v>1616</v>
      </c>
      <c r="U26" s="41">
        <v>866</v>
      </c>
      <c r="V26" s="41">
        <v>829</v>
      </c>
      <c r="W26" s="41">
        <v>2070</v>
      </c>
      <c r="X26" s="41">
        <v>6819</v>
      </c>
    </row>
    <row r="27" spans="18:24" x14ac:dyDescent="0.2">
      <c r="R27" s="42" t="str">
        <v>Cleveland</v>
      </c>
      <c r="S27" s="41">
        <v>0</v>
      </c>
      <c r="T27" s="41">
        <v>0</v>
      </c>
      <c r="U27" s="41">
        <v>0</v>
      </c>
      <c r="V27" s="41">
        <v>0</v>
      </c>
      <c r="W27" s="41">
        <v>0</v>
      </c>
      <c r="X27" s="41">
        <v>0</v>
      </c>
    </row>
    <row r="28" spans="18:24" x14ac:dyDescent="0.2">
      <c r="R28" s="40" t="str">
        <v>C0002</v>
      </c>
      <c r="S28" s="41">
        <v>1233</v>
      </c>
      <c r="T28" s="41">
        <v>223</v>
      </c>
      <c r="U28" s="41">
        <v>1680</v>
      </c>
      <c r="V28" s="41">
        <v>990</v>
      </c>
      <c r="W28" s="41">
        <v>1508</v>
      </c>
      <c r="X28" s="41">
        <v>5634</v>
      </c>
    </row>
    <row r="29" spans="18:24" x14ac:dyDescent="0.2">
      <c r="R29" s="40" t="str">
        <v>C0007</v>
      </c>
      <c r="S29" s="41">
        <v>1598</v>
      </c>
      <c r="T29" s="41">
        <v>1907</v>
      </c>
      <c r="U29" s="41">
        <v>869</v>
      </c>
      <c r="V29" s="41">
        <v>1426</v>
      </c>
      <c r="W29" s="41">
        <v>1416</v>
      </c>
      <c r="X29" s="41">
        <v>7216</v>
      </c>
    </row>
    <row r="30" spans="18:24" x14ac:dyDescent="0.2">
      <c r="R30" s="40" t="str">
        <v>C0008</v>
      </c>
      <c r="S30" s="41">
        <v>900</v>
      </c>
      <c r="T30" s="41">
        <v>1016</v>
      </c>
      <c r="U30" s="41">
        <v>960</v>
      </c>
      <c r="V30" s="41">
        <v>940</v>
      </c>
      <c r="W30" s="41">
        <v>1193</v>
      </c>
      <c r="X30" s="41">
        <v>5009</v>
      </c>
    </row>
    <row r="31" spans="18:24" x14ac:dyDescent="0.2">
      <c r="R31" s="40" t="str">
        <v>C0010</v>
      </c>
      <c r="S31" s="41">
        <v>900</v>
      </c>
      <c r="T31" s="41">
        <v>1470</v>
      </c>
      <c r="U31" s="41">
        <v>1617</v>
      </c>
      <c r="V31" s="41">
        <v>1314</v>
      </c>
      <c r="W31" s="41">
        <v>941</v>
      </c>
      <c r="X31" s="41">
        <v>6242</v>
      </c>
    </row>
    <row r="32" spans="18:24" x14ac:dyDescent="0.2">
      <c r="R32" s="40" t="str">
        <v>C0013</v>
      </c>
      <c r="S32" s="41">
        <v>1255</v>
      </c>
      <c r="T32" s="41">
        <v>516</v>
      </c>
      <c r="U32" s="41">
        <v>1874</v>
      </c>
      <c r="V32" s="41">
        <v>1863</v>
      </c>
      <c r="W32" s="41">
        <v>1722</v>
      </c>
      <c r="X32" s="41">
        <v>7230</v>
      </c>
    </row>
    <row r="33" spans="18:24" x14ac:dyDescent="0.2">
      <c r="R33" s="40" t="str">
        <v>C0015</v>
      </c>
      <c r="S33" s="41">
        <v>1138</v>
      </c>
      <c r="T33" s="41">
        <v>1898</v>
      </c>
      <c r="U33" s="41">
        <v>1482</v>
      </c>
      <c r="V33" s="41">
        <v>846</v>
      </c>
      <c r="W33" s="41">
        <v>1154</v>
      </c>
      <c r="X33" s="41">
        <v>6518</v>
      </c>
    </row>
    <row r="34" spans="18:24" x14ac:dyDescent="0.2">
      <c r="R34" s="42" t="str">
        <v>Columbus</v>
      </c>
      <c r="S34" s="41">
        <v>0</v>
      </c>
      <c r="T34" s="41">
        <v>0</v>
      </c>
      <c r="U34" s="41">
        <v>0</v>
      </c>
      <c r="V34" s="41">
        <v>0</v>
      </c>
      <c r="W34" s="41">
        <v>0</v>
      </c>
      <c r="X34" s="41">
        <v>0</v>
      </c>
    </row>
    <row r="35" spans="18:24" x14ac:dyDescent="0.2">
      <c r="R35" s="40" t="str">
        <v>C0001</v>
      </c>
      <c r="S35" s="41">
        <v>1655</v>
      </c>
      <c r="T35" s="41">
        <v>805</v>
      </c>
      <c r="U35" s="41">
        <v>2263</v>
      </c>
      <c r="V35" s="41">
        <v>987</v>
      </c>
      <c r="W35" s="41">
        <v>1075</v>
      </c>
      <c r="X35" s="41">
        <v>6785</v>
      </c>
    </row>
    <row r="36" spans="18:24" x14ac:dyDescent="0.2">
      <c r="R36" s="40" t="str">
        <v>C0005</v>
      </c>
      <c r="S36" s="41">
        <v>1104</v>
      </c>
      <c r="T36" s="41">
        <v>2280</v>
      </c>
      <c r="U36" s="41">
        <v>1445</v>
      </c>
      <c r="V36" s="41">
        <v>1722</v>
      </c>
      <c r="W36" s="41">
        <v>1196</v>
      </c>
      <c r="X36" s="41">
        <v>7747</v>
      </c>
    </row>
    <row r="37" spans="18:24" x14ac:dyDescent="0.2">
      <c r="R37" s="40" t="str">
        <v>C0006</v>
      </c>
      <c r="S37" s="41">
        <v>372</v>
      </c>
      <c r="T37" s="41">
        <v>1818</v>
      </c>
      <c r="U37" s="41">
        <v>1346</v>
      </c>
      <c r="V37" s="41">
        <v>1156</v>
      </c>
      <c r="W37" s="41">
        <v>1484</v>
      </c>
      <c r="X37" s="41">
        <v>6176</v>
      </c>
    </row>
    <row r="38" spans="18:24" x14ac:dyDescent="0.2">
      <c r="R38" s="40" t="str">
        <v>C0009</v>
      </c>
      <c r="S38" s="41">
        <v>1415</v>
      </c>
      <c r="T38" s="41">
        <v>1271</v>
      </c>
      <c r="U38" s="41">
        <v>1214</v>
      </c>
      <c r="V38" s="41">
        <v>1135</v>
      </c>
      <c r="W38" s="41">
        <v>1566</v>
      </c>
      <c r="X38" s="41">
        <v>6601</v>
      </c>
    </row>
    <row r="39" spans="18:24" x14ac:dyDescent="0.2">
      <c r="R39" s="40" t="str">
        <v>C0014</v>
      </c>
      <c r="S39" s="41">
        <v>1362</v>
      </c>
      <c r="T39" s="41">
        <v>1363</v>
      </c>
      <c r="U39" s="41">
        <v>1152</v>
      </c>
      <c r="V39" s="41">
        <v>777</v>
      </c>
      <c r="W39" s="41">
        <v>750</v>
      </c>
      <c r="X39" s="41">
        <v>5404</v>
      </c>
    </row>
  </sheetData>
  <conditionalFormatting sqref="S23:W39">
    <cfRule type="dataBar" priority="2">
      <dataBar>
        <cfvo type="num" val="0"/>
        <cfvo type="formula" val="MAX($S$22:$W$39)*2"/>
        <color theme="1"/>
      </dataBar>
      <extLst>
        <ext xmlns:x14="http://schemas.microsoft.com/office/spreadsheetml/2009/9/main" uri="{B025F937-C7B1-47D3-B67F-A62EFF666E3E}">
          <x14:id>{D46B67F1-013A-45CD-9E40-ADE15062ADE2}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6D2208F6-C64F-47B4-BFFE-71BA535DC73F}">
            <xm:f>S$21=pivort!$D$77</xm:f>
            <x14:dxf>
              <fill>
                <patternFill>
                  <bgColor theme="8" tint="0.59996337778862885"/>
                </patternFill>
              </fill>
              <border>
                <left style="thin">
                  <color theme="1" tint="0.34998626667073579"/>
                </left>
                <right style="thin">
                  <color theme="1" tint="0.34998626667073579"/>
                </right>
                <vertical/>
                <horizontal/>
              </border>
            </x14:dxf>
          </x14:cfRule>
          <xm:sqref>S21:W39</xm:sqref>
        </x14:conditionalFormatting>
        <x14:conditionalFormatting xmlns:xm="http://schemas.microsoft.com/office/excel/2006/main">
          <x14:cfRule type="dataBar" id="{D46B67F1-013A-45CD-9E40-ADE15062ADE2}">
            <x14:dataBar minLength="0" maxLength="100" gradient="0">
              <x14:cfvo type="num">
                <xm:f>0</xm:f>
              </x14:cfvo>
              <x14:cfvo type="formula">
                <xm:f>MAX($S$22:$W$39)*2</xm:f>
              </x14:cfvo>
              <x14:negativeFillColor rgb="FFFF0000"/>
              <x14:axisColor rgb="FF000000"/>
            </x14:dataBar>
          </x14:cfRule>
          <xm:sqref>S23:W39</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F1" zoomScale="76" zoomScaleNormal="115" workbookViewId="0">
      <selection activeCell="C15" sqref="C15"/>
    </sheetView>
  </sheetViews>
  <sheetFormatPr baseColWidth="10" defaultColWidth="8.83203125" defaultRowHeight="15" x14ac:dyDescent="0.2"/>
  <cols>
    <col min="1" max="1" width="3.1640625" customWidth="1"/>
    <col min="2" max="2" width="14.5" customWidth="1"/>
    <col min="3" max="3" width="12.83203125" customWidth="1"/>
    <col min="4" max="4" width="16.5" customWidth="1"/>
    <col min="5" max="5" width="15" customWidth="1"/>
    <col min="6" max="6" width="16.1640625" customWidth="1"/>
    <col min="7" max="7" width="17.33203125" customWidth="1"/>
    <col min="8" max="8" width="18.5" customWidth="1"/>
    <col min="9" max="9" width="17.33203125" customWidth="1"/>
    <col min="10" max="12" width="15.5" customWidth="1"/>
    <col min="13" max="16" width="7.5" customWidth="1"/>
    <col min="17" max="17" width="14.5" customWidth="1"/>
    <col min="20" max="20" width="10.5" customWidth="1"/>
  </cols>
  <sheetData>
    <row r="1" spans="2:20" s="4" customFormat="1" ht="48" customHeight="1" x14ac:dyDescent="0.2">
      <c r="B1" s="5" t="s">
        <v>1003</v>
      </c>
    </row>
    <row r="2" spans="2:20" x14ac:dyDescent="0.2">
      <c r="R2" s="1"/>
    </row>
    <row r="3" spans="2:20" x14ac:dyDescent="0.2">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9877A-9D59-4C8B-A024-BB24679F9F57}">
  <dimension ref="A3:T131"/>
  <sheetViews>
    <sheetView topLeftCell="A7" zoomScale="91" workbookViewId="0">
      <selection activeCell="E114" sqref="E114"/>
    </sheetView>
  </sheetViews>
  <sheetFormatPr baseColWidth="10" defaultColWidth="8.83203125" defaultRowHeight="15" x14ac:dyDescent="0.2"/>
  <cols>
    <col min="1" max="1" width="14.1640625" bestFit="1" customWidth="1"/>
    <col min="2" max="3" width="10.33203125" bestFit="1" customWidth="1"/>
    <col min="4" max="4" width="14.1640625" bestFit="1" customWidth="1"/>
    <col min="5" max="5" width="10.33203125" bestFit="1" customWidth="1"/>
    <col min="6" max="6" width="7.6640625" bestFit="1" customWidth="1"/>
    <col min="7" max="7" width="12" bestFit="1" customWidth="1"/>
    <col min="9" max="9" width="12.33203125" customWidth="1"/>
    <col min="10" max="11" width="9" bestFit="1" customWidth="1"/>
    <col min="12" max="12" width="12" customWidth="1"/>
    <col min="13" max="13" width="9" bestFit="1" customWidth="1"/>
    <col min="19" max="19" width="14.1640625" bestFit="1" customWidth="1"/>
    <col min="20" max="20" width="10.33203125" bestFit="1" customWidth="1"/>
    <col min="21" max="21" width="11.33203125" bestFit="1" customWidth="1"/>
  </cols>
  <sheetData>
    <row r="3" spans="1:6" x14ac:dyDescent="0.2">
      <c r="A3" t="s">
        <v>1047</v>
      </c>
      <c r="B3" t="s">
        <v>1048</v>
      </c>
      <c r="C3" t="s">
        <v>1049</v>
      </c>
      <c r="D3" t="s">
        <v>1050</v>
      </c>
      <c r="E3" t="s">
        <v>1051</v>
      </c>
    </row>
    <row r="4" spans="1:6" x14ac:dyDescent="0.2">
      <c r="A4" s="21">
        <v>1000</v>
      </c>
      <c r="B4" s="23">
        <v>96623</v>
      </c>
      <c r="C4" s="21">
        <v>89850</v>
      </c>
      <c r="D4" s="22">
        <v>3.8854000000000033</v>
      </c>
      <c r="E4" s="21">
        <v>307</v>
      </c>
    </row>
    <row r="14" spans="1:6" x14ac:dyDescent="0.2">
      <c r="B14" t="s">
        <v>1047</v>
      </c>
      <c r="C14" t="s">
        <v>1048</v>
      </c>
      <c r="D14" t="s">
        <v>1049</v>
      </c>
      <c r="E14" t="s">
        <v>1050</v>
      </c>
      <c r="F14" t="s">
        <v>1051</v>
      </c>
    </row>
    <row r="15" spans="1:6" x14ac:dyDescent="0.2">
      <c r="B15" s="21">
        <v>207</v>
      </c>
      <c r="C15" s="23">
        <v>20872</v>
      </c>
      <c r="D15" s="21">
        <v>17700</v>
      </c>
      <c r="E15" s="22">
        <v>3.8589371980676304</v>
      </c>
      <c r="F15" s="21">
        <v>60</v>
      </c>
    </row>
    <row r="24" spans="2:20" x14ac:dyDescent="0.2">
      <c r="B24" s="24" t="s">
        <v>1052</v>
      </c>
      <c r="C24" t="s">
        <v>1047</v>
      </c>
      <c r="D24" t="s">
        <v>1066</v>
      </c>
    </row>
    <row r="25" spans="2:20" x14ac:dyDescent="0.2">
      <c r="B25" s="34" t="s">
        <v>1054</v>
      </c>
      <c r="C25" s="21">
        <v>13</v>
      </c>
      <c r="D25" s="21">
        <v>13</v>
      </c>
    </row>
    <row r="26" spans="2:20" x14ac:dyDescent="0.2">
      <c r="B26" s="34" t="s">
        <v>1055</v>
      </c>
      <c r="C26" s="21">
        <v>13</v>
      </c>
      <c r="D26" s="21">
        <v>13</v>
      </c>
    </row>
    <row r="27" spans="2:20" x14ac:dyDescent="0.2">
      <c r="B27" s="34" t="s">
        <v>1056</v>
      </c>
      <c r="C27" s="21">
        <v>28</v>
      </c>
      <c r="D27" s="21">
        <v>28</v>
      </c>
      <c r="S27" s="24" t="s">
        <v>1052</v>
      </c>
      <c r="T27" t="s">
        <v>1047</v>
      </c>
    </row>
    <row r="28" spans="2:20" x14ac:dyDescent="0.2">
      <c r="B28" s="34" t="s">
        <v>1057</v>
      </c>
      <c r="C28" s="21">
        <v>24</v>
      </c>
      <c r="D28" s="21">
        <v>24</v>
      </c>
      <c r="S28" s="34" t="s">
        <v>1068</v>
      </c>
      <c r="T28" s="21">
        <v>34</v>
      </c>
    </row>
    <row r="29" spans="2:20" x14ac:dyDescent="0.2">
      <c r="B29" s="34" t="s">
        <v>1058</v>
      </c>
      <c r="C29" s="21">
        <v>23</v>
      </c>
      <c r="D29" s="21">
        <v>23</v>
      </c>
      <c r="S29" s="34" t="s">
        <v>1072</v>
      </c>
      <c r="T29" s="21">
        <v>26</v>
      </c>
    </row>
    <row r="30" spans="2:20" x14ac:dyDescent="0.2">
      <c r="B30" s="34" t="s">
        <v>1059</v>
      </c>
      <c r="C30" s="21">
        <v>17</v>
      </c>
      <c r="D30" s="21">
        <v>17</v>
      </c>
      <c r="S30" s="34" t="s">
        <v>1073</v>
      </c>
      <c r="T30" s="21">
        <v>38</v>
      </c>
    </row>
    <row r="31" spans="2:20" x14ac:dyDescent="0.2">
      <c r="B31" s="34" t="s">
        <v>1060</v>
      </c>
      <c r="C31" s="21">
        <v>11</v>
      </c>
      <c r="D31" s="21">
        <v>11</v>
      </c>
      <c r="S31" s="34" t="s">
        <v>1071</v>
      </c>
      <c r="T31" s="21">
        <v>27</v>
      </c>
    </row>
    <row r="32" spans="2:20" x14ac:dyDescent="0.2">
      <c r="B32" s="34" t="s">
        <v>1061</v>
      </c>
      <c r="C32" s="21">
        <v>11</v>
      </c>
      <c r="D32" s="21">
        <v>11</v>
      </c>
      <c r="S32" s="34" t="s">
        <v>1067</v>
      </c>
      <c r="T32" s="21">
        <v>27</v>
      </c>
    </row>
    <row r="33" spans="2:20" x14ac:dyDescent="0.2">
      <c r="B33" s="34" t="s">
        <v>1062</v>
      </c>
      <c r="C33" s="21">
        <v>14</v>
      </c>
      <c r="D33" s="21">
        <v>14</v>
      </c>
      <c r="S33" s="34" t="s">
        <v>1069</v>
      </c>
      <c r="T33" s="21">
        <v>25</v>
      </c>
    </row>
    <row r="34" spans="2:20" x14ac:dyDescent="0.2">
      <c r="B34" s="34" t="s">
        <v>1063</v>
      </c>
      <c r="C34" s="21">
        <v>30</v>
      </c>
      <c r="D34" s="21">
        <v>30</v>
      </c>
      <c r="S34" s="34" t="s">
        <v>1070</v>
      </c>
      <c r="T34" s="21">
        <v>30</v>
      </c>
    </row>
    <row r="35" spans="2:20" x14ac:dyDescent="0.2">
      <c r="B35" s="34" t="s">
        <v>1064</v>
      </c>
      <c r="C35" s="21">
        <v>14</v>
      </c>
      <c r="D35" s="21">
        <v>14</v>
      </c>
      <c r="S35" s="34" t="s">
        <v>1053</v>
      </c>
      <c r="T35" s="21">
        <v>207</v>
      </c>
    </row>
    <row r="36" spans="2:20" x14ac:dyDescent="0.2">
      <c r="B36" s="34" t="s">
        <v>1065</v>
      </c>
      <c r="C36" s="21">
        <v>9</v>
      </c>
      <c r="D36" s="21">
        <v>9</v>
      </c>
    </row>
    <row r="37" spans="2:20" x14ac:dyDescent="0.2">
      <c r="B37" s="34" t="s">
        <v>1053</v>
      </c>
      <c r="C37" s="21">
        <v>207</v>
      </c>
      <c r="D37" s="21">
        <v>207</v>
      </c>
    </row>
    <row r="48" spans="2:20" x14ac:dyDescent="0.2">
      <c r="I48" t="s">
        <v>1074</v>
      </c>
      <c r="L48" t="s">
        <v>1080</v>
      </c>
      <c r="M48" t="str">
        <f>D77</f>
        <v>R03</v>
      </c>
    </row>
    <row r="50" spans="1:13" x14ac:dyDescent="0.2">
      <c r="I50" t="s">
        <v>1075</v>
      </c>
      <c r="J50" t="s">
        <v>1076</v>
      </c>
      <c r="K50" t="s">
        <v>1077</v>
      </c>
      <c r="L50" t="s">
        <v>1078</v>
      </c>
      <c r="M50" t="s">
        <v>1079</v>
      </c>
    </row>
    <row r="51" spans="1:13" x14ac:dyDescent="0.2">
      <c r="I51" t="str" cm="1">
        <f t="array" ref="I51:K55">D53:F57</f>
        <v>R01</v>
      </c>
      <c r="J51">
        <v>189</v>
      </c>
      <c r="K51" s="35">
        <v>18415</v>
      </c>
      <c r="L51" t="e">
        <f>IF(I51=M48,J51,NA())</f>
        <v>#N/A</v>
      </c>
      <c r="M51" t="e">
        <f>IF(I51=M48,K51,NA())</f>
        <v>#N/A</v>
      </c>
    </row>
    <row r="52" spans="1:13" x14ac:dyDescent="0.2">
      <c r="A52" s="25"/>
      <c r="B52" s="26"/>
      <c r="C52" s="27"/>
      <c r="D52" s="24" t="s">
        <v>1052</v>
      </c>
      <c r="E52" s="24" t="s">
        <v>1047</v>
      </c>
      <c r="F52" t="s">
        <v>1048</v>
      </c>
      <c r="I52" t="str">
        <v>R02</v>
      </c>
      <c r="J52">
        <v>218</v>
      </c>
      <c r="K52" s="35">
        <v>20581</v>
      </c>
      <c r="L52" t="e">
        <f>IF(I52=M48,J52,NA())</f>
        <v>#N/A</v>
      </c>
      <c r="M52" t="e">
        <f>IF(I52=M48,K52,NA())</f>
        <v>#N/A</v>
      </c>
    </row>
    <row r="53" spans="1:13" x14ac:dyDescent="0.2">
      <c r="A53" s="28"/>
      <c r="B53" s="29"/>
      <c r="C53" s="30"/>
      <c r="D53" s="34" t="s">
        <v>11</v>
      </c>
      <c r="E53" s="21">
        <v>189</v>
      </c>
      <c r="F53" s="23">
        <v>18415</v>
      </c>
      <c r="I53" t="str">
        <v>R03</v>
      </c>
      <c r="J53">
        <v>207</v>
      </c>
      <c r="K53" s="35">
        <v>20872</v>
      </c>
      <c r="L53">
        <f>IF(I53=M48,J53,NA())</f>
        <v>207</v>
      </c>
      <c r="M53">
        <f>IF(I53=M48,K53,NA())</f>
        <v>20872</v>
      </c>
    </row>
    <row r="54" spans="1:13" x14ac:dyDescent="0.2">
      <c r="A54" s="28"/>
      <c r="B54" s="29"/>
      <c r="C54" s="30"/>
      <c r="D54" s="34" t="s">
        <v>9</v>
      </c>
      <c r="E54" s="21">
        <v>218</v>
      </c>
      <c r="F54" s="23">
        <v>20581</v>
      </c>
      <c r="I54" t="str">
        <v>R04</v>
      </c>
      <c r="J54">
        <v>186</v>
      </c>
      <c r="K54" s="35">
        <v>16651</v>
      </c>
      <c r="L54" t="e">
        <f>IF(I54=M48,J54,NA())</f>
        <v>#N/A</v>
      </c>
      <c r="M54" t="e">
        <f>IF(I54=M48,K54,NA())</f>
        <v>#N/A</v>
      </c>
    </row>
    <row r="55" spans="1:13" x14ac:dyDescent="0.2">
      <c r="A55" s="28"/>
      <c r="B55" s="29"/>
      <c r="C55" s="30"/>
      <c r="D55" s="34" t="s">
        <v>6</v>
      </c>
      <c r="E55" s="21">
        <v>207</v>
      </c>
      <c r="F55" s="23">
        <v>20872</v>
      </c>
      <c r="I55" t="str">
        <v>R05</v>
      </c>
      <c r="J55">
        <v>200</v>
      </c>
      <c r="K55" s="35">
        <v>20104</v>
      </c>
      <c r="L55" t="e">
        <f>IF(I55=M48,J55,NA())</f>
        <v>#N/A</v>
      </c>
      <c r="M55" t="e">
        <f>IF(I55=M48,K55,NA())</f>
        <v>#N/A</v>
      </c>
    </row>
    <row r="56" spans="1:13" x14ac:dyDescent="0.2">
      <c r="A56" s="28"/>
      <c r="B56" s="29"/>
      <c r="C56" s="30"/>
      <c r="D56" s="34" t="s">
        <v>13</v>
      </c>
      <c r="E56" s="21">
        <v>186</v>
      </c>
      <c r="F56" s="23">
        <v>16651</v>
      </c>
    </row>
    <row r="57" spans="1:13" x14ac:dyDescent="0.2">
      <c r="A57" s="28"/>
      <c r="B57" s="29"/>
      <c r="C57" s="30"/>
      <c r="D57" s="34" t="s">
        <v>10</v>
      </c>
      <c r="E57" s="21">
        <v>200</v>
      </c>
      <c r="F57" s="23">
        <v>20104</v>
      </c>
    </row>
    <row r="58" spans="1:13" x14ac:dyDescent="0.2">
      <c r="A58" s="28"/>
      <c r="B58" s="29"/>
      <c r="C58" s="30"/>
      <c r="D58" s="34" t="s">
        <v>1053</v>
      </c>
      <c r="E58" s="21">
        <v>1000</v>
      </c>
      <c r="F58" s="23">
        <v>96623</v>
      </c>
    </row>
    <row r="59" spans="1:13" x14ac:dyDescent="0.2">
      <c r="A59" s="28"/>
      <c r="B59" s="29"/>
      <c r="C59" s="30"/>
    </row>
    <row r="60" spans="1:13" x14ac:dyDescent="0.2">
      <c r="A60" s="28"/>
      <c r="B60" s="29"/>
      <c r="C60" s="30"/>
    </row>
    <row r="61" spans="1:13" x14ac:dyDescent="0.2">
      <c r="A61" s="28"/>
      <c r="B61" s="29"/>
      <c r="C61" s="30"/>
    </row>
    <row r="62" spans="1:13" x14ac:dyDescent="0.2">
      <c r="A62" s="28"/>
      <c r="B62" s="29"/>
      <c r="C62" s="30"/>
    </row>
    <row r="63" spans="1:13" x14ac:dyDescent="0.2">
      <c r="A63" s="28"/>
      <c r="B63" s="29"/>
      <c r="C63" s="30"/>
      <c r="I63" s="34" t="s">
        <v>11</v>
      </c>
      <c r="J63" s="23">
        <v>18415</v>
      </c>
    </row>
    <row r="64" spans="1:13" x14ac:dyDescent="0.2">
      <c r="A64" s="28"/>
      <c r="B64" s="29"/>
      <c r="C64" s="30"/>
      <c r="I64" s="34" t="s">
        <v>9</v>
      </c>
      <c r="J64" s="23">
        <v>20581</v>
      </c>
    </row>
    <row r="65" spans="1:10" x14ac:dyDescent="0.2">
      <c r="A65" s="28"/>
      <c r="B65" s="29"/>
      <c r="C65" s="30"/>
      <c r="I65" s="34" t="s">
        <v>6</v>
      </c>
      <c r="J65" s="23">
        <v>20872</v>
      </c>
    </row>
    <row r="66" spans="1:10" x14ac:dyDescent="0.2">
      <c r="A66" s="28"/>
      <c r="B66" s="29"/>
      <c r="C66" s="30"/>
      <c r="I66" s="34" t="s">
        <v>13</v>
      </c>
      <c r="J66" s="23">
        <v>16651</v>
      </c>
    </row>
    <row r="67" spans="1:10" x14ac:dyDescent="0.2">
      <c r="A67" s="28"/>
      <c r="B67" s="29"/>
      <c r="C67" s="30"/>
      <c r="I67" s="34" t="s">
        <v>10</v>
      </c>
      <c r="J67" s="23">
        <v>20104</v>
      </c>
    </row>
    <row r="68" spans="1:10" x14ac:dyDescent="0.2">
      <c r="A68" s="28"/>
      <c r="B68" s="29"/>
      <c r="C68" s="30"/>
    </row>
    <row r="69" spans="1:10" x14ac:dyDescent="0.2">
      <c r="A69" s="31"/>
      <c r="B69" s="32"/>
      <c r="C69" s="33"/>
    </row>
    <row r="76" spans="1:10" x14ac:dyDescent="0.2">
      <c r="D76" s="24" t="s">
        <v>1052</v>
      </c>
    </row>
    <row r="77" spans="1:10" x14ac:dyDescent="0.2">
      <c r="D77" s="36" t="s">
        <v>6</v>
      </c>
    </row>
    <row r="84" spans="1:4" x14ac:dyDescent="0.2">
      <c r="A84" s="24" t="s">
        <v>1047</v>
      </c>
      <c r="B84" s="24" t="s">
        <v>1081</v>
      </c>
    </row>
    <row r="85" spans="1:4" x14ac:dyDescent="0.2">
      <c r="A85" s="24" t="s">
        <v>1052</v>
      </c>
      <c r="B85" t="s">
        <v>999</v>
      </c>
      <c r="C85" t="s">
        <v>998</v>
      </c>
      <c r="D85" t="s">
        <v>1053</v>
      </c>
    </row>
    <row r="86" spans="1:4" x14ac:dyDescent="0.2">
      <c r="A86" s="34" t="s">
        <v>1002</v>
      </c>
      <c r="B86" s="21">
        <v>144</v>
      </c>
      <c r="C86" s="21">
        <v>132</v>
      </c>
      <c r="D86" s="21">
        <v>276</v>
      </c>
    </row>
    <row r="87" spans="1:4" x14ac:dyDescent="0.2">
      <c r="A87" s="34" t="s">
        <v>1001</v>
      </c>
      <c r="B87" s="21">
        <v>326</v>
      </c>
      <c r="C87" s="21">
        <v>63</v>
      </c>
      <c r="D87" s="21">
        <v>389</v>
      </c>
    </row>
    <row r="88" spans="1:4" x14ac:dyDescent="0.2">
      <c r="A88" s="34" t="s">
        <v>1000</v>
      </c>
      <c r="B88" s="21">
        <v>129</v>
      </c>
      <c r="C88" s="21">
        <v>206</v>
      </c>
      <c r="D88" s="21">
        <v>335</v>
      </c>
    </row>
    <row r="89" spans="1:4" x14ac:dyDescent="0.2">
      <c r="A89" s="34" t="s">
        <v>1053</v>
      </c>
      <c r="B89" s="21">
        <v>599</v>
      </c>
      <c r="C89" s="21">
        <v>401</v>
      </c>
      <c r="D89" s="21">
        <v>1000</v>
      </c>
    </row>
    <row r="98" spans="1:2" x14ac:dyDescent="0.2">
      <c r="A98" s="24" t="s">
        <v>1052</v>
      </c>
      <c r="B98" t="s">
        <v>1047</v>
      </c>
    </row>
    <row r="99" spans="1:2" x14ac:dyDescent="0.2">
      <c r="A99" s="34">
        <v>0</v>
      </c>
      <c r="B99" s="21">
        <v>1</v>
      </c>
    </row>
    <row r="100" spans="1:2" x14ac:dyDescent="0.2">
      <c r="A100" s="34">
        <v>1</v>
      </c>
      <c r="B100" s="21">
        <v>1</v>
      </c>
    </row>
    <row r="101" spans="1:2" x14ac:dyDescent="0.2">
      <c r="A101" s="34">
        <v>2</v>
      </c>
      <c r="B101" s="21">
        <v>11</v>
      </c>
    </row>
    <row r="102" spans="1:2" x14ac:dyDescent="0.2">
      <c r="A102" s="34">
        <v>3</v>
      </c>
      <c r="B102" s="21">
        <v>46</v>
      </c>
    </row>
    <row r="103" spans="1:2" x14ac:dyDescent="0.2">
      <c r="A103" s="34">
        <v>4</v>
      </c>
      <c r="B103" s="21">
        <v>88</v>
      </c>
    </row>
    <row r="104" spans="1:2" x14ac:dyDescent="0.2">
      <c r="A104" s="34">
        <v>5</v>
      </c>
      <c r="B104" s="21">
        <v>60</v>
      </c>
    </row>
    <row r="105" spans="1:2" x14ac:dyDescent="0.2">
      <c r="A105" s="34" t="s">
        <v>1053</v>
      </c>
      <c r="B105" s="21">
        <v>207</v>
      </c>
    </row>
    <row r="112" spans="1:2" x14ac:dyDescent="0.2">
      <c r="A112" s="24" t="s">
        <v>1048</v>
      </c>
      <c r="B112" s="24" t="s">
        <v>1081</v>
      </c>
    </row>
    <row r="113" spans="1:7" x14ac:dyDescent="0.2">
      <c r="A113" s="24" t="s">
        <v>1052</v>
      </c>
      <c r="B113" t="s">
        <v>11</v>
      </c>
      <c r="C113" t="s">
        <v>9</v>
      </c>
      <c r="D113" t="s">
        <v>6</v>
      </c>
      <c r="E113" t="s">
        <v>13</v>
      </c>
      <c r="F113" t="s">
        <v>10</v>
      </c>
      <c r="G113" t="s">
        <v>1053</v>
      </c>
    </row>
    <row r="114" spans="1:7" x14ac:dyDescent="0.2">
      <c r="A114" s="34" t="s">
        <v>1002</v>
      </c>
    </row>
    <row r="115" spans="1:7" x14ac:dyDescent="0.2">
      <c r="A115" s="38" t="s">
        <v>20</v>
      </c>
      <c r="B115" s="23">
        <v>891</v>
      </c>
      <c r="C115" s="23">
        <v>1332</v>
      </c>
      <c r="D115" s="23">
        <v>1282</v>
      </c>
      <c r="E115" s="23">
        <v>739</v>
      </c>
      <c r="F115" s="23">
        <v>560</v>
      </c>
      <c r="G115" s="23">
        <v>4804</v>
      </c>
    </row>
    <row r="116" spans="1:7" x14ac:dyDescent="0.2">
      <c r="A116" s="38" t="s">
        <v>12</v>
      </c>
      <c r="B116" s="23">
        <v>1991</v>
      </c>
      <c r="C116" s="23">
        <v>1886</v>
      </c>
      <c r="D116" s="23">
        <v>1206</v>
      </c>
      <c r="E116" s="23">
        <v>884</v>
      </c>
      <c r="F116" s="23">
        <v>1722</v>
      </c>
      <c r="G116" s="23">
        <v>7689</v>
      </c>
    </row>
    <row r="117" spans="1:7" x14ac:dyDescent="0.2">
      <c r="A117" s="38" t="s">
        <v>8</v>
      </c>
      <c r="B117" s="23">
        <v>1163</v>
      </c>
      <c r="C117" s="23">
        <v>1180</v>
      </c>
      <c r="D117" s="23">
        <v>1616</v>
      </c>
      <c r="E117" s="23">
        <v>1043</v>
      </c>
      <c r="F117" s="23">
        <v>1747</v>
      </c>
      <c r="G117" s="23">
        <v>6749</v>
      </c>
    </row>
    <row r="118" spans="1:7" x14ac:dyDescent="0.2">
      <c r="A118" s="38" t="s">
        <v>16</v>
      </c>
      <c r="B118" s="23">
        <v>1438</v>
      </c>
      <c r="C118" s="23">
        <v>1616</v>
      </c>
      <c r="D118" s="23">
        <v>866</v>
      </c>
      <c r="E118" s="23">
        <v>829</v>
      </c>
      <c r="F118" s="23">
        <v>2070</v>
      </c>
      <c r="G118" s="23">
        <v>6819</v>
      </c>
    </row>
    <row r="119" spans="1:7" x14ac:dyDescent="0.2">
      <c r="A119" s="34" t="s">
        <v>1001</v>
      </c>
    </row>
    <row r="120" spans="1:7" x14ac:dyDescent="0.2">
      <c r="A120" s="38" t="s">
        <v>24</v>
      </c>
      <c r="B120" s="23">
        <v>1233</v>
      </c>
      <c r="C120" s="23">
        <v>223</v>
      </c>
      <c r="D120" s="23">
        <v>1680</v>
      </c>
      <c r="E120" s="23">
        <v>990</v>
      </c>
      <c r="F120" s="23">
        <v>1508</v>
      </c>
      <c r="G120" s="23">
        <v>5634</v>
      </c>
    </row>
    <row r="121" spans="1:7" x14ac:dyDescent="0.2">
      <c r="A121" s="38" t="s">
        <v>15</v>
      </c>
      <c r="B121" s="23">
        <v>1598</v>
      </c>
      <c r="C121" s="23">
        <v>1907</v>
      </c>
      <c r="D121" s="23">
        <v>869</v>
      </c>
      <c r="E121" s="23">
        <v>1426</v>
      </c>
      <c r="F121" s="23">
        <v>1416</v>
      </c>
      <c r="G121" s="23">
        <v>7216</v>
      </c>
    </row>
    <row r="122" spans="1:7" x14ac:dyDescent="0.2">
      <c r="A122" s="38" t="s">
        <v>5</v>
      </c>
      <c r="B122" s="23">
        <v>900</v>
      </c>
      <c r="C122" s="23">
        <v>1016</v>
      </c>
      <c r="D122" s="23">
        <v>960</v>
      </c>
      <c r="E122" s="23">
        <v>940</v>
      </c>
      <c r="F122" s="23">
        <v>1193</v>
      </c>
      <c r="G122" s="23">
        <v>5009</v>
      </c>
    </row>
    <row r="123" spans="1:7" x14ac:dyDescent="0.2">
      <c r="A123" s="38" t="s">
        <v>18</v>
      </c>
      <c r="B123" s="23">
        <v>900</v>
      </c>
      <c r="C123" s="23">
        <v>1470</v>
      </c>
      <c r="D123" s="23">
        <v>1617</v>
      </c>
      <c r="E123" s="23">
        <v>1314</v>
      </c>
      <c r="F123" s="23">
        <v>941</v>
      </c>
      <c r="G123" s="23">
        <v>6242</v>
      </c>
    </row>
    <row r="124" spans="1:7" x14ac:dyDescent="0.2">
      <c r="A124" s="38" t="s">
        <v>14</v>
      </c>
      <c r="B124" s="23">
        <v>1255</v>
      </c>
      <c r="C124" s="23">
        <v>516</v>
      </c>
      <c r="D124" s="23">
        <v>1874</v>
      </c>
      <c r="E124" s="23">
        <v>1863</v>
      </c>
      <c r="F124" s="23">
        <v>1722</v>
      </c>
      <c r="G124" s="23">
        <v>7230</v>
      </c>
    </row>
    <row r="125" spans="1:7" x14ac:dyDescent="0.2">
      <c r="A125" s="38" t="s">
        <v>19</v>
      </c>
      <c r="B125" s="23">
        <v>1138</v>
      </c>
      <c r="C125" s="23">
        <v>1898</v>
      </c>
      <c r="D125" s="23">
        <v>1482</v>
      </c>
      <c r="E125" s="23">
        <v>846</v>
      </c>
      <c r="F125" s="23">
        <v>1154</v>
      </c>
      <c r="G125" s="23">
        <v>6518</v>
      </c>
    </row>
    <row r="126" spans="1:7" x14ac:dyDescent="0.2">
      <c r="A126" s="34" t="s">
        <v>1000</v>
      </c>
    </row>
    <row r="127" spans="1:7" x14ac:dyDescent="0.2">
      <c r="A127" s="38" t="s">
        <v>17</v>
      </c>
      <c r="B127" s="23">
        <v>1655</v>
      </c>
      <c r="C127" s="23">
        <v>805</v>
      </c>
      <c r="D127" s="23">
        <v>2263</v>
      </c>
      <c r="E127" s="23">
        <v>987</v>
      </c>
      <c r="F127" s="23">
        <v>1075</v>
      </c>
      <c r="G127" s="23">
        <v>6785</v>
      </c>
    </row>
    <row r="128" spans="1:7" x14ac:dyDescent="0.2">
      <c r="A128" s="38" t="s">
        <v>23</v>
      </c>
      <c r="B128" s="23">
        <v>1104</v>
      </c>
      <c r="C128" s="23">
        <v>2280</v>
      </c>
      <c r="D128" s="23">
        <v>1445</v>
      </c>
      <c r="E128" s="23">
        <v>1722</v>
      </c>
      <c r="F128" s="23">
        <v>1196</v>
      </c>
      <c r="G128" s="23">
        <v>7747</v>
      </c>
    </row>
    <row r="129" spans="1:7" x14ac:dyDescent="0.2">
      <c r="A129" s="38" t="s">
        <v>7</v>
      </c>
      <c r="B129" s="23">
        <v>372</v>
      </c>
      <c r="C129" s="23">
        <v>1818</v>
      </c>
      <c r="D129" s="23">
        <v>1346</v>
      </c>
      <c r="E129" s="23">
        <v>1156</v>
      </c>
      <c r="F129" s="23">
        <v>1484</v>
      </c>
      <c r="G129" s="23">
        <v>6176</v>
      </c>
    </row>
    <row r="130" spans="1:7" x14ac:dyDescent="0.2">
      <c r="A130" s="38" t="s">
        <v>22</v>
      </c>
      <c r="B130" s="23">
        <v>1415</v>
      </c>
      <c r="C130" s="23">
        <v>1271</v>
      </c>
      <c r="D130" s="23">
        <v>1214</v>
      </c>
      <c r="E130" s="23">
        <v>1135</v>
      </c>
      <c r="F130" s="23">
        <v>1566</v>
      </c>
      <c r="G130" s="23">
        <v>6601</v>
      </c>
    </row>
    <row r="131" spans="1:7" x14ac:dyDescent="0.2">
      <c r="A131" s="38" t="s">
        <v>21</v>
      </c>
      <c r="B131" s="23">
        <v>1362</v>
      </c>
      <c r="C131" s="23">
        <v>1363</v>
      </c>
      <c r="D131" s="23">
        <v>1152</v>
      </c>
      <c r="E131" s="23">
        <v>777</v>
      </c>
      <c r="F131" s="23">
        <v>750</v>
      </c>
      <c r="G131" s="23">
        <v>5404</v>
      </c>
    </row>
  </sheetData>
  <pageMargins left="0.7" right="0.7" top="0.75" bottom="0.75" header="0.3" footer="0.3"/>
  <pageSetup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54" zoomScaleNormal="115" workbookViewId="0">
      <selection activeCell="H3" sqref="H3"/>
    </sheetView>
  </sheetViews>
  <sheetFormatPr baseColWidth="10" defaultColWidth="8.83203125" defaultRowHeight="15" x14ac:dyDescent="0.2"/>
  <cols>
    <col min="5" max="5" width="10.83203125" customWidth="1"/>
    <col min="6" max="6" width="9.83203125" customWidth="1"/>
  </cols>
  <sheetData>
    <row r="2" spans="5:6" x14ac:dyDescent="0.2">
      <c r="E2" t="s">
        <v>1040</v>
      </c>
      <c r="F2" t="s">
        <v>1041</v>
      </c>
    </row>
    <row r="3" spans="5:6" ht="25.5" customHeight="1" x14ac:dyDescent="0.2">
      <c r="E3" t="s">
        <v>11</v>
      </c>
      <c r="F3" t="s">
        <v>1042</v>
      </c>
    </row>
    <row r="4" spans="5:6" ht="25.5" customHeight="1" x14ac:dyDescent="0.2">
      <c r="E4" t="s">
        <v>9</v>
      </c>
      <c r="F4" t="s">
        <v>1043</v>
      </c>
    </row>
    <row r="5" spans="5:6" ht="25.5" customHeight="1" x14ac:dyDescent="0.2">
      <c r="E5" t="s">
        <v>6</v>
      </c>
      <c r="F5" t="s">
        <v>1044</v>
      </c>
    </row>
    <row r="6" spans="5:6" ht="25.5" customHeight="1" x14ac:dyDescent="0.2">
      <c r="E6" t="s">
        <v>13</v>
      </c>
      <c r="F6" t="s">
        <v>1045</v>
      </c>
    </row>
    <row r="7" spans="5:6" ht="25.5" customHeight="1" x14ac:dyDescent="0.2">
      <c r="E7" t="s">
        <v>10</v>
      </c>
      <c r="F7" t="s">
        <v>1046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couatumer center report</vt:lpstr>
      <vt:lpstr>Data</vt:lpstr>
      <vt:lpstr>pivort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Sasi Ratna Kumar Dasari</cp:lastModifiedBy>
  <dcterms:created xsi:type="dcterms:W3CDTF">2021-03-14T20:21:32Z</dcterms:created>
  <dcterms:modified xsi:type="dcterms:W3CDTF">2026-02-17T15:34:37Z</dcterms:modified>
</cp:coreProperties>
</file>